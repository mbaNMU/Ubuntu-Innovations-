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Scale" sheetId="2" state="visible" r:id="rId4"/>
    <sheet name="Heat Map" sheetId="3" state="visible" r:id="rId5"/>
  </sheets>
  <definedNames>
    <definedName function="false" hidden="false" localSheetId="0" name="_xlnm.Print_Titles" vbProcedure="false">'Risk Register'!$4:$4</definedName>
    <definedName function="false" hidden="true" localSheetId="0" name="_xlnm._FilterDatabase" vbProcedure="false">'Risk Register'!$A$4:$M$16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<sst xmlns="http://schemas.openxmlformats.org/spreadsheetml/2006/main" count="171" uniqueCount="94">
  <si>
    <t xml:space="preserve">Ubuntu Innovations (Pty) Ltd - Risk Assessment Matrix</t>
  </si>
  <si>
    <t xml:space="preserve">Blue cells are inputs (use the dropdowns for Likelihood/Impact). Scores and ratings recalculate automatically from the Scoring Scale sheet.</t>
  </si>
  <si>
    <t xml:space="preserve">ID</t>
  </si>
  <si>
    <t xml:space="preserve">Risk</t>
  </si>
  <si>
    <t xml:space="preserve">Description</t>
  </si>
  <si>
    <t xml:space="preserve">Likelihood</t>
  </si>
  <si>
    <t xml:space="preserve">Impact</t>
  </si>
  <si>
    <t xml:space="preserve">Risk Score</t>
  </si>
  <si>
    <t xml:space="preserve">Rating</t>
  </si>
  <si>
    <t xml:space="preserve">Mitigation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</si>
  <si>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</si>
  <si>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</si>
  <si>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</si>
  <si>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</si>
  <si>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Owner</t>
  </si>
  <si>
    <t xml:space="preserve">R1</t>
  </si>
  <si>
    <t xml:space="preserve">Phishing</t>
  </si>
  <si>
    <t xml:space="preserve">Staff tricked into revealing credentials or opening malicious links/attachments</t>
  </si>
  <si>
    <t xml:space="preserve">High</t>
  </si>
  <si>
    <t xml:space="preserve">Awareness training with simulated phishing; email filtering; MFA on all accounts; simple way to report suspicious email</t>
  </si>
  <si>
    <t xml:space="preserve">Medium</t>
  </si>
  <si>
    <t xml:space="preserve">IT Support / HR</t>
  </si>
  <si>
    <t xml:space="preserve">R2</t>
  </si>
  <si>
    <t xml:space="preserve">Ransomware</t>
  </si>
  <si>
    <t xml:space="preserve">Malware encrypts workstations and the NAS, halting operations and demanding payment</t>
  </si>
  <si>
    <t xml:space="preserve">Endpoint protection/EDR; daily incremental, weekly full and offsite cloud backups (incl. an offline/immutable copy); patching; least-privilege folder access</t>
  </si>
  <si>
    <t xml:space="preserve">Low</t>
  </si>
  <si>
    <t xml:space="preserve">IT Support</t>
  </si>
  <si>
    <t xml:space="preserve">R3</t>
  </si>
  <si>
    <t xml:space="preserve">Hardware failure</t>
  </si>
  <si>
    <t xml:space="preserve">Failure of a PC, NAS disk, switch, router or access point</t>
  </si>
  <si>
    <t xml:space="preserve">RAID on NAS; spare switch/power supply; warranty and support contracts; standard PC image for fast replacement</t>
  </si>
  <si>
    <t xml:space="preserve">R4</t>
  </si>
  <si>
    <t xml:space="preserve">Power outage / load shedding</t>
  </si>
  <si>
    <t xml:space="preserve">Loss of mains power damaging equipment or interrupting work</t>
  </si>
  <si>
    <t xml:space="preserve">2 x 1500VA UPS for router, switch and NAS; safe-shutdown configuration; consider inverter/generator backup</t>
  </si>
  <si>
    <t xml:space="preserve">IT Support / Management</t>
  </si>
  <si>
    <t xml:space="preserve">R5</t>
  </si>
  <si>
    <t xml:space="preserve">Weak or compromised passwords</t>
  </si>
  <si>
    <t xml:space="preserve">Guessable, reused or stolen passwords give attackers account access</t>
  </si>
  <si>
    <t xml:space="preserve">Password complexity policy; MFA; password manager; account lockout; disable accounts promptly on exit</t>
  </si>
  <si>
    <t xml:space="preserve">R6</t>
  </si>
  <si>
    <t xml:space="preserve">Lost or stolen laptop</t>
  </si>
  <si>
    <t xml:space="preserve">Loss of one of the 5 management laptops exposes company data</t>
  </si>
  <si>
    <t xml:space="preserve">Full-disk encryption; screen lock; remote wipe; asset register; no local-only data storage</t>
  </si>
  <si>
    <t xml:space="preserve">R7</t>
  </si>
  <si>
    <t xml:space="preserve">Unpatched or outdated software</t>
  </si>
  <si>
    <t xml:space="preserve">Known vulnerabilities left open on operating systems and applications</t>
  </si>
  <si>
    <t xml:space="preserve">Scheduled patch management; automatic OS and antivirus updates; monthly patch review</t>
  </si>
  <si>
    <t xml:space="preserve">R8</t>
  </si>
  <si>
    <t xml:space="preserve">Internet / ISP outage</t>
  </si>
  <si>
    <t xml:space="preserve">Loss of connectivity affecting email, cloud tools and offsite backups</t>
  </si>
  <si>
    <t xml:space="preserve">Fibre SLA with the ISP; 4G/5G failover on the router; offline-capable cloud tools</t>
  </si>
  <si>
    <t xml:space="preserve">R9</t>
  </si>
  <si>
    <t xml:space="preserve">Accidental deletion / human error</t>
  </si>
  <si>
    <t xml:space="preserve">Files deleted or overwritten by mistake</t>
  </si>
  <si>
    <t xml:space="preserve">NAS snapshots; file version history; restricted write permissions; tested restore procedure</t>
  </si>
  <si>
    <t xml:space="preserve">R10</t>
  </si>
  <si>
    <t xml:space="preserve">Unauthorised access / insider threat</t>
  </si>
  <si>
    <t xml:space="preserve">Staff accessing data outside their department or misusing privileges</t>
  </si>
  <si>
    <t xml:space="preserve">Department security groups (least privilege); audit logging on Finance and HR folders; onboarding/offboarding checklist</t>
  </si>
  <si>
    <t xml:space="preserve">R11</t>
  </si>
  <si>
    <t xml:space="preserve">Personal data breach (POPIA)</t>
  </si>
  <si>
    <t xml:space="preserve">Exposure of HR and Finance personal information, with legal and reputational impact</t>
  </si>
  <si>
    <t xml:space="preserve">Encryption at rest and in transit; restricted HR/Finance folders; Incident Response Plan with breach-notification steps</t>
  </si>
  <si>
    <t xml:space="preserve">Management / IT Support</t>
  </si>
  <si>
    <t xml:space="preserve">R12</t>
  </si>
  <si>
    <t xml:space="preserve">Physical theft / unauthorised office access</t>
  </si>
  <si>
    <t xml:space="preserve">Equipment stolen or comms room accessed by unauthorised people</t>
  </si>
  <si>
    <t xml:space="preserve">Lockable comms cabinet for router, switch and NAS; entrance access control; visitor log</t>
  </si>
  <si>
    <t xml:space="preserve">Management</t>
  </si>
  <si>
    <t xml:space="preserve">Scoring Scale</t>
  </si>
  <si>
    <t xml:space="preserve">Risk score = Likelihood x Impact. Blue values are inputs; the Risk Register looks them up from here.</t>
  </si>
  <si>
    <t xml:space="preserve">Level</t>
  </si>
  <si>
    <t xml:space="preserve">Value</t>
  </si>
  <si>
    <t xml:space="preserve">Rating bands (minimum score)</t>
  </si>
  <si>
    <t xml:space="preserve">Min score</t>
  </si>
  <si>
    <t xml:space="preserve">Response</t>
  </si>
  <si>
    <t xml:space="preserve">Accept and monitor</t>
  </si>
  <si>
    <t xml:space="preserve">Mitigate within normal operations</t>
  </si>
  <si>
    <t xml:space="preserve">Mitigate as a priority</t>
  </si>
  <si>
    <t xml:space="preserve">Critical</t>
  </si>
  <si>
    <t xml:space="preserve">Immediate, top-priority controls</t>
  </si>
  <si>
    <t xml:space="preserve">Likelihood and impact descriptions</t>
  </si>
  <si>
    <t xml:space="preserve">Assumption: ratings for R1-R4 follow the capstone brief; R5-R12 are additional risks identified for a 25-user Cape Town office.</t>
  </si>
  <si>
    <t xml:space="preserve">Risk Heat Maps</t>
  </si>
  <si>
    <t xml:space="preserve">Risk IDs are pulled from the Risk Register automatically. Cell colour shows the rating of that Likelihood x Impact combination.</t>
  </si>
  <si>
    <t xml:space="preserve">Inherent risk (before mitigation)</t>
  </si>
  <si>
    <t xml:space="preserve">Likelihood \ Impact</t>
  </si>
  <si>
    <t xml:space="preserve">Residual risk (after planned mitigation)</t>
  </si>
  <si>
    <t xml:space="preserve">Summary: number of risks by rating</t>
  </si>
  <si>
    <t xml:space="preserve">Inherent</t>
  </si>
  <si>
    <t xml:space="preserve">Residual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</si>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</sst>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CCFFCC"/>
      </patternFill>
    </fill>
    <fill>
      <patternFill patternType="solid">
        <fgColor rgb="FFFFE699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61.5" hidden="false" customHeight="true" outlineLevel="0" collapsed="false">
      <c r="A5" s="4" t="s">
        <v>15</v>
      </c>
      <c r="B5" s="5" t="s">
        <v>16</v>
      </c>
      <c r="C5" s="6" t="s">
        <v>17</v>
      </c>
      <c r="D5" s="7" t="s">
        <v>18</v>
      </c>
      <c r="E5" s="7" t="s">
        <v>18</v>
      </c>
      <c r="F5" s="8" t="n">
        <f aca="false">INDEX('Scoring Scale'!$B$5:$B$7,MATCH(D5,'Scoring Scale'!$A$5:$A$7,0))*INDEX('Scoring Scale'!$B$5:$B$7,MATCH(E5,'Scoring Scale'!$A$5:$A$7,0))</f>
        <v>9</v>
      </c>
      <c r="G5" s="4" t="str">
        <f aca="false">INDEX('Scoring Scale'!$A$12:$A$15,MATCH(F5,'Scoring Scale'!$B$12:$B$15,1))</f>
        <v>Critical</v>
      </c>
      <c r="H5" s="6" t="s">
        <v>19</v>
      </c>
      <c r="I5" s="7" t="s">
        <v>20</v>
      </c>
      <c r="J5" s="7" t="s">
        <v>20</v>
      </c>
      <c r="K5" s="8" t="n">
        <f aca="false">INDEX('Scoring Scale'!$B$5:$B$7,MATCH(I5,'Scoring Scale'!$A$5:$A$7,0))*INDEX('Scoring Scale'!$B$5:$B$7,MATCH(J5,'Scoring Scale'!$A$5:$A$7,0))</f>
        <v>4</v>
      </c>
      <c r="L5" s="4" t="str">
        <f aca="false">INDEX('Scoring Scale'!$A$12:$A$15,MATCH(K5,'Scoring Scale'!$B$12:$B$15,1))</f>
        <v>Medium</v>
      </c>
      <c r="M5" s="6" t="s">
        <v>21</v>
      </c>
    </row>
    <row r="6" customFormat="false" ht="61.5" hidden="false" customHeight="true" outlineLevel="0" collapsed="false">
      <c r="A6" s="4" t="s">
        <v>22</v>
      </c>
      <c r="B6" s="5" t="s">
        <v>23</v>
      </c>
      <c r="C6" s="6" t="s">
        <v>24</v>
      </c>
      <c r="D6" s="7" t="s">
        <v>20</v>
      </c>
      <c r="E6" s="7" t="s">
        <v>18</v>
      </c>
      <c r="F6" s="8" t="n">
        <f aca="false">INDEX('Scoring Scale'!$B$5:$B$7,MATCH(D6,'Scoring Scale'!$A$5:$A$7,0))*INDEX('Scoring Scale'!$B$5:$B$7,MATCH(E6,'Scoring Scale'!$A$5:$A$7,0))</f>
        <v>6</v>
      </c>
      <c r="G6" s="4" t="str">
        <f aca="false">INDEX('Scoring Scale'!$A$12:$A$15,MATCH(F6,'Scoring Scale'!$B$12:$B$15,1))</f>
        <v>High</v>
      </c>
      <c r="H6" s="6" t="s">
        <v>25</v>
      </c>
      <c r="I6" s="7" t="s">
        <v>26</v>
      </c>
      <c r="J6" s="7" t="s">
        <v>18</v>
      </c>
      <c r="K6" s="8" t="n">
        <f aca="false">INDEX('Scoring Scale'!$B$5:$B$7,MATCH(I6,'Scoring Scale'!$A$5:$A$7,0))*INDEX('Scoring Scale'!$B$5:$B$7,MATCH(J6,'Scoring Scale'!$A$5:$A$7,0))</f>
        <v>3</v>
      </c>
      <c r="L6" s="4" t="str">
        <f aca="false">INDEX('Scoring Scale'!$A$12:$A$15,MATCH(K6,'Scoring Scale'!$B$12:$B$15,1))</f>
        <v>Medium</v>
      </c>
      <c r="M6" s="6" t="s">
        <v>27</v>
      </c>
    </row>
    <row r="7" customFormat="false" ht="61.5" hidden="false" customHeight="true" outlineLevel="0" collapsed="false">
      <c r="A7" s="4" t="s">
        <v>28</v>
      </c>
      <c r="B7" s="5" t="s">
        <v>29</v>
      </c>
      <c r="C7" s="6" t="s">
        <v>30</v>
      </c>
      <c r="D7" s="7" t="s">
        <v>20</v>
      </c>
      <c r="E7" s="7" t="s">
        <v>20</v>
      </c>
      <c r="F7" s="8" t="n">
        <f aca="false">INDEX('Scoring Scale'!$B$5:$B$7,MATCH(D7,'Scoring Scale'!$A$5:$A$7,0))*INDEX('Scoring Scale'!$B$5:$B$7,MATCH(E7,'Scoring Scale'!$A$5:$A$7,0))</f>
        <v>4</v>
      </c>
      <c r="G7" s="4" t="str">
        <f aca="false">INDEX('Scoring Scale'!$A$12:$A$15,MATCH(F7,'Scoring Scale'!$B$12:$B$15,1))</f>
        <v>Medium</v>
      </c>
      <c r="H7" s="6" t="s">
        <v>31</v>
      </c>
      <c r="I7" s="7" t="s">
        <v>26</v>
      </c>
      <c r="J7" s="7" t="s">
        <v>20</v>
      </c>
      <c r="K7" s="8" t="n">
        <f aca="false">INDEX('Scoring Scale'!$B$5:$B$7,MATCH(I7,'Scoring Scale'!$A$5:$A$7,0))*INDEX('Scoring Scale'!$B$5:$B$7,MATCH(J7,'Scoring Scale'!$A$5:$A$7,0))</f>
        <v>2</v>
      </c>
      <c r="L7" s="4" t="str">
        <f aca="false">INDEX('Scoring Scale'!$A$12:$A$15,MATCH(K7,'Scoring Scale'!$B$12:$B$15,1))</f>
        <v>Low</v>
      </c>
      <c r="M7" s="6" t="s">
        <v>27</v>
      </c>
    </row>
    <row r="8" customFormat="false" ht="61.5" hidden="false" customHeight="true" outlineLevel="0" collapsed="false">
      <c r="A8" s="4" t="s">
        <v>32</v>
      </c>
      <c r="B8" s="5" t="s">
        <v>33</v>
      </c>
      <c r="C8" s="6" t="s">
        <v>34</v>
      </c>
      <c r="D8" s="7" t="s">
        <v>20</v>
      </c>
      <c r="E8" s="7" t="s">
        <v>18</v>
      </c>
      <c r="F8" s="8" t="n">
        <f aca="false">INDEX('Scoring Scale'!$B$5:$B$7,MATCH(D8,'Scoring Scale'!$A$5:$A$7,0))*INDEX('Scoring Scale'!$B$5:$B$7,MATCH(E8,'Scoring Scale'!$A$5:$A$7,0))</f>
        <v>6</v>
      </c>
      <c r="G8" s="4" t="str">
        <f aca="false">INDEX('Scoring Scale'!$A$12:$A$15,MATCH(F8,'Scoring Scale'!$B$12:$B$15,1))</f>
        <v>High</v>
      </c>
      <c r="H8" s="6" t="s">
        <v>35</v>
      </c>
      <c r="I8" s="7" t="s">
        <v>26</v>
      </c>
      <c r="J8" s="7" t="s">
        <v>20</v>
      </c>
      <c r="K8" s="8" t="n">
        <f aca="false">INDEX('Scoring Scale'!$B$5:$B$7,MATCH(I8,'Scoring Scale'!$A$5:$A$7,0))*INDEX('Scoring Scale'!$B$5:$B$7,MATCH(J8,'Scoring Scale'!$A$5:$A$7,0))</f>
        <v>2</v>
      </c>
      <c r="L8" s="4" t="str">
        <f aca="false">INDEX('Scoring Scale'!$A$12:$A$15,MATCH(K8,'Scoring Scale'!$B$12:$B$15,1))</f>
        <v>Low</v>
      </c>
      <c r="M8" s="6" t="s">
        <v>36</v>
      </c>
    </row>
    <row r="9" customFormat="false" ht="61.5" hidden="false" customHeight="true" outlineLevel="0" collapsed="false">
      <c r="A9" s="4" t="s">
        <v>37</v>
      </c>
      <c r="B9" s="5" t="s">
        <v>38</v>
      </c>
      <c r="C9" s="6" t="s">
        <v>39</v>
      </c>
      <c r="D9" s="7" t="s">
        <v>20</v>
      </c>
      <c r="E9" s="7" t="s">
        <v>18</v>
      </c>
      <c r="F9" s="8" t="n">
        <f aca="false">INDEX('Scoring Scale'!$B$5:$B$7,MATCH(D9,'Scoring Scale'!$A$5:$A$7,0))*INDEX('Scoring Scale'!$B$5:$B$7,MATCH(E9,'Scoring Scale'!$A$5:$A$7,0))</f>
        <v>6</v>
      </c>
      <c r="G9" s="4" t="str">
        <f aca="false">INDEX('Scoring Scale'!$A$12:$A$15,MATCH(F9,'Scoring Scale'!$B$12:$B$15,1))</f>
        <v>High</v>
      </c>
      <c r="H9" s="6" t="s">
        <v>40</v>
      </c>
      <c r="I9" s="7" t="s">
        <v>26</v>
      </c>
      <c r="J9" s="7" t="s">
        <v>20</v>
      </c>
      <c r="K9" s="8" t="n">
        <f aca="false">INDEX('Scoring Scale'!$B$5:$B$7,MATCH(I9,'Scoring Scale'!$A$5:$A$7,0))*INDEX('Scoring Scale'!$B$5:$B$7,MATCH(J9,'Scoring Scale'!$A$5:$A$7,0))</f>
        <v>2</v>
      </c>
      <c r="L9" s="4" t="str">
        <f aca="false">INDEX('Scoring Scale'!$A$12:$A$15,MATCH(K9,'Scoring Scale'!$B$12:$B$15,1))</f>
        <v>Low</v>
      </c>
      <c r="M9" s="6" t="s">
        <v>27</v>
      </c>
    </row>
    <row r="10" customFormat="false" ht="61.5" hidden="false" customHeight="true" outlineLevel="0" collapsed="false">
      <c r="A10" s="4" t="s">
        <v>41</v>
      </c>
      <c r="B10" s="5" t="s">
        <v>42</v>
      </c>
      <c r="C10" s="6" t="s">
        <v>43</v>
      </c>
      <c r="D10" s="7" t="s">
        <v>20</v>
      </c>
      <c r="E10" s="7" t="s">
        <v>18</v>
      </c>
      <c r="F10" s="8" t="n">
        <f aca="false">INDEX('Scoring Scale'!$B$5:$B$7,MATCH(D10,'Scoring Scale'!$A$5:$A$7,0))*INDEX('Scoring Scale'!$B$5:$B$7,MATCH(E10,'Scoring Scale'!$A$5:$A$7,0))</f>
        <v>6</v>
      </c>
      <c r="G10" s="4" t="str">
        <f aca="false">INDEX('Scoring Scale'!$A$12:$A$15,MATCH(F10,'Scoring Scale'!$B$12:$B$15,1))</f>
        <v>High</v>
      </c>
      <c r="H10" s="6" t="s">
        <v>44</v>
      </c>
      <c r="I10" s="7" t="s">
        <v>20</v>
      </c>
      <c r="J10" s="7" t="s">
        <v>26</v>
      </c>
      <c r="K10" s="8" t="n">
        <f aca="false">INDEX('Scoring Scale'!$B$5:$B$7,MATCH(I10,'Scoring Scale'!$A$5:$A$7,0))*INDEX('Scoring Scale'!$B$5:$B$7,MATCH(J10,'Scoring Scale'!$A$5:$A$7,0))</f>
        <v>2</v>
      </c>
      <c r="L10" s="4" t="str">
        <f aca="false">INDEX('Scoring Scale'!$A$12:$A$15,MATCH(K10,'Scoring Scale'!$B$12:$B$15,1))</f>
        <v>Low</v>
      </c>
      <c r="M10" s="6" t="s">
        <v>36</v>
      </c>
    </row>
    <row r="11" customFormat="false" ht="61.5" hidden="false" customHeight="true" outlineLevel="0" collapsed="false">
      <c r="A11" s="4" t="s">
        <v>45</v>
      </c>
      <c r="B11" s="5" t="s">
        <v>46</v>
      </c>
      <c r="C11" s="6" t="s">
        <v>47</v>
      </c>
      <c r="D11" s="7" t="s">
        <v>18</v>
      </c>
      <c r="E11" s="7" t="s">
        <v>20</v>
      </c>
      <c r="F11" s="8" t="n">
        <f aca="false">INDEX('Scoring Scale'!$B$5:$B$7,MATCH(D11,'Scoring Scale'!$A$5:$A$7,0))*INDEX('Scoring Scale'!$B$5:$B$7,MATCH(E11,'Scoring Scale'!$A$5:$A$7,0))</f>
        <v>6</v>
      </c>
      <c r="G11" s="4" t="str">
        <f aca="false">INDEX('Scoring Scale'!$A$12:$A$15,MATCH(F11,'Scoring Scale'!$B$12:$B$15,1))</f>
        <v>High</v>
      </c>
      <c r="H11" s="6" t="s">
        <v>48</v>
      </c>
      <c r="I11" s="7" t="s">
        <v>26</v>
      </c>
      <c r="J11" s="7" t="s">
        <v>20</v>
      </c>
      <c r="K11" s="8" t="n">
        <f aca="false">INDEX('Scoring Scale'!$B$5:$B$7,MATCH(I11,'Scoring Scale'!$A$5:$A$7,0))*INDEX('Scoring Scale'!$B$5:$B$7,MATCH(J11,'Scoring Scale'!$A$5:$A$7,0))</f>
        <v>2</v>
      </c>
      <c r="L11" s="4" t="str">
        <f aca="false">INDEX('Scoring Scale'!$A$12:$A$15,MATCH(K11,'Scoring Scale'!$B$12:$B$15,1))</f>
        <v>Low</v>
      </c>
      <c r="M11" s="6" t="s">
        <v>27</v>
      </c>
    </row>
    <row r="12" customFormat="false" ht="61.5" hidden="false" customHeight="true" outlineLevel="0" collapsed="false">
      <c r="A12" s="4" t="s">
        <v>49</v>
      </c>
      <c r="B12" s="5" t="s">
        <v>50</v>
      </c>
      <c r="C12" s="6" t="s">
        <v>51</v>
      </c>
      <c r="D12" s="7" t="s">
        <v>20</v>
      </c>
      <c r="E12" s="7" t="s">
        <v>20</v>
      </c>
      <c r="F12" s="8" t="n">
        <f aca="false">INDEX('Scoring Scale'!$B$5:$B$7,MATCH(D12,'Scoring Scale'!$A$5:$A$7,0))*INDEX('Scoring Scale'!$B$5:$B$7,MATCH(E12,'Scoring Scale'!$A$5:$A$7,0))</f>
        <v>4</v>
      </c>
      <c r="G12" s="4" t="str">
        <f aca="false">INDEX('Scoring Scale'!$A$12:$A$15,MATCH(F12,'Scoring Scale'!$B$12:$B$15,1))</f>
        <v>Medium</v>
      </c>
      <c r="H12" s="6" t="s">
        <v>52</v>
      </c>
      <c r="I12" s="7" t="s">
        <v>26</v>
      </c>
      <c r="J12" s="7" t="s">
        <v>20</v>
      </c>
      <c r="K12" s="8" t="n">
        <f aca="false">INDEX('Scoring Scale'!$B$5:$B$7,MATCH(I12,'Scoring Scale'!$A$5:$A$7,0))*INDEX('Scoring Scale'!$B$5:$B$7,MATCH(J12,'Scoring Scale'!$A$5:$A$7,0))</f>
        <v>2</v>
      </c>
      <c r="L12" s="4" t="str">
        <f aca="false">INDEX('Scoring Scale'!$A$12:$A$15,MATCH(K12,'Scoring Scale'!$B$12:$B$15,1))</f>
        <v>Low</v>
      </c>
      <c r="M12" s="6" t="s">
        <v>27</v>
      </c>
    </row>
    <row r="13" customFormat="false" ht="61.5" hidden="false" customHeight="true" outlineLevel="0" collapsed="false">
      <c r="A13" s="4" t="s">
        <v>53</v>
      </c>
      <c r="B13" s="5" t="s">
        <v>54</v>
      </c>
      <c r="C13" s="6" t="s">
        <v>55</v>
      </c>
      <c r="D13" s="7" t="s">
        <v>20</v>
      </c>
      <c r="E13" s="7" t="s">
        <v>20</v>
      </c>
      <c r="F13" s="8" t="n">
        <f aca="false">INDEX('Scoring Scale'!$B$5:$B$7,MATCH(D13,'Scoring Scale'!$A$5:$A$7,0))*INDEX('Scoring Scale'!$B$5:$B$7,MATCH(E13,'Scoring Scale'!$A$5:$A$7,0))</f>
        <v>4</v>
      </c>
      <c r="G13" s="4" t="str">
        <f aca="false">INDEX('Scoring Scale'!$A$12:$A$15,MATCH(F13,'Scoring Scale'!$B$12:$B$15,1))</f>
        <v>Medium</v>
      </c>
      <c r="H13" s="6" t="s">
        <v>56</v>
      </c>
      <c r="I13" s="7" t="s">
        <v>26</v>
      </c>
      <c r="J13" s="7" t="s">
        <v>26</v>
      </c>
      <c r="K13" s="8" t="n">
        <f aca="false">INDEX('Scoring Scale'!$B$5:$B$7,MATCH(I13,'Scoring Scale'!$A$5:$A$7,0))*INDEX('Scoring Scale'!$B$5:$B$7,MATCH(J13,'Scoring Scale'!$A$5:$A$7,0))</f>
        <v>1</v>
      </c>
      <c r="L13" s="4" t="str">
        <f aca="false">INDEX('Scoring Scale'!$A$12:$A$15,MATCH(K13,'Scoring Scale'!$B$12:$B$15,1))</f>
        <v>Low</v>
      </c>
      <c r="M13" s="6" t="s">
        <v>27</v>
      </c>
    </row>
    <row r="14" customFormat="false" ht="61.5" hidden="false" customHeight="true" outlineLevel="0" collapsed="false">
      <c r="A14" s="4" t="s">
        <v>57</v>
      </c>
      <c r="B14" s="5" t="s">
        <v>58</v>
      </c>
      <c r="C14" s="6" t="s">
        <v>59</v>
      </c>
      <c r="D14" s="7" t="s">
        <v>26</v>
      </c>
      <c r="E14" s="7" t="s">
        <v>18</v>
      </c>
      <c r="F14" s="8" t="n">
        <f aca="false">INDEX('Scoring Scale'!$B$5:$B$7,MATCH(D14,'Scoring Scale'!$A$5:$A$7,0))*INDEX('Scoring Scale'!$B$5:$B$7,MATCH(E14,'Scoring Scale'!$A$5:$A$7,0))</f>
        <v>3</v>
      </c>
      <c r="G14" s="4" t="str">
        <f aca="false">INDEX('Scoring Scale'!$A$12:$A$15,MATCH(F14,'Scoring Scale'!$B$12:$B$15,1))</f>
        <v>Medium</v>
      </c>
      <c r="H14" s="6" t="s">
        <v>60</v>
      </c>
      <c r="I14" s="7" t="s">
        <v>26</v>
      </c>
      <c r="J14" s="7" t="s">
        <v>20</v>
      </c>
      <c r="K14" s="8" t="n">
        <f aca="false">INDEX('Scoring Scale'!$B$5:$B$7,MATCH(I14,'Scoring Scale'!$A$5:$A$7,0))*INDEX('Scoring Scale'!$B$5:$B$7,MATCH(J14,'Scoring Scale'!$A$5:$A$7,0))</f>
        <v>2</v>
      </c>
      <c r="L14" s="4" t="str">
        <f aca="false">INDEX('Scoring Scale'!$A$12:$A$15,MATCH(K14,'Scoring Scale'!$B$12:$B$15,1))</f>
        <v>Low</v>
      </c>
      <c r="M14" s="6" t="s">
        <v>21</v>
      </c>
    </row>
    <row r="15" customFormat="false" ht="61.5" hidden="false" customHeight="true" outlineLevel="0" collapsed="false">
      <c r="A15" s="4" t="s">
        <v>61</v>
      </c>
      <c r="B15" s="5" t="s">
        <v>62</v>
      </c>
      <c r="C15" s="6" t="s">
        <v>63</v>
      </c>
      <c r="D15" s="7" t="s">
        <v>26</v>
      </c>
      <c r="E15" s="7" t="s">
        <v>18</v>
      </c>
      <c r="F15" s="8" t="n">
        <f aca="false">INDEX('Scoring Scale'!$B$5:$B$7,MATCH(D15,'Scoring Scale'!$A$5:$A$7,0))*INDEX('Scoring Scale'!$B$5:$B$7,MATCH(E15,'Scoring Scale'!$A$5:$A$7,0))</f>
        <v>3</v>
      </c>
      <c r="G15" s="4" t="str">
        <f aca="false">INDEX('Scoring Scale'!$A$12:$A$15,MATCH(F15,'Scoring Scale'!$B$12:$B$15,1))</f>
        <v>Medium</v>
      </c>
      <c r="H15" s="6" t="s">
        <v>64</v>
      </c>
      <c r="I15" s="7" t="s">
        <v>26</v>
      </c>
      <c r="J15" s="7" t="s">
        <v>20</v>
      </c>
      <c r="K15" s="8" t="n">
        <f aca="false">INDEX('Scoring Scale'!$B$5:$B$7,MATCH(I15,'Scoring Scale'!$A$5:$A$7,0))*INDEX('Scoring Scale'!$B$5:$B$7,MATCH(J15,'Scoring Scale'!$A$5:$A$7,0))</f>
        <v>2</v>
      </c>
      <c r="L15" s="4" t="str">
        <f aca="false">INDEX('Scoring Scale'!$A$12:$A$15,MATCH(K15,'Scoring Scale'!$B$12:$B$15,1))</f>
        <v>Low</v>
      </c>
      <c r="M15" s="6" t="s">
        <v>65</v>
      </c>
    </row>
    <row r="16" customFormat="false" ht="61.5" hidden="false" customHeight="true" outlineLevel="0" collapsed="false">
      <c r="A16" s="4" t="s">
        <v>66</v>
      </c>
      <c r="B16" s="5" t="s">
        <v>67</v>
      </c>
      <c r="C16" s="6" t="s">
        <v>68</v>
      </c>
      <c r="D16" s="7" t="s">
        <v>26</v>
      </c>
      <c r="E16" s="7" t="s">
        <v>20</v>
      </c>
      <c r="F16" s="8" t="n">
        <f aca="false">INDEX('Scoring Scale'!$B$5:$B$7,MATCH(D16,'Scoring Scale'!$A$5:$A$7,0))*INDEX('Scoring Scale'!$B$5:$B$7,MATCH(E16,'Scoring Scale'!$A$5:$A$7,0))</f>
        <v>2</v>
      </c>
      <c r="G16" s="4" t="str">
        <f aca="false">INDEX('Scoring Scale'!$A$12:$A$15,MATCH(F16,'Scoring Scale'!$B$12:$B$15,1))</f>
        <v>Low</v>
      </c>
      <c r="H16" s="6" t="s">
        <v>69</v>
      </c>
      <c r="I16" s="7" t="s">
        <v>26</v>
      </c>
      <c r="J16" s="7" t="s">
        <v>26</v>
      </c>
      <c r="K16" s="8" t="n">
        <f aca="false">INDEX('Scoring Scale'!$B$5:$B$7,MATCH(I16,'Scoring Scale'!$A$5:$A$7,0))*INDEX('Scoring Scale'!$B$5:$B$7,MATCH(J16,'Scoring Scale'!$A$5:$A$7,0))</f>
        <v>1</v>
      </c>
      <c r="L16" s="4" t="str">
        <f aca="false">INDEX('Scoring Scale'!$A$12:$A$15,MATCH(K16,'Scoring Scale'!$B$12:$B$15,1))</f>
        <v>Low</v>
      </c>
      <c r="M16" s="6" t="s">
        <v>70</v>
      </c>
    </row>
  </sheetData>
  <autoFilter ref="A4:M16"/>
  <conditionalFormatting sqref="G5:G16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conditionalFormatting sqref="L5:L16">
    <cfRule type="cellIs" priority="6" operator="equal" aboveAverage="0" equalAverage="0" bottom="0" percent="0" rank="0" text="" dxfId="9">
      <formula>"Critical"</formula>
    </cfRule>
    <cfRule type="cellIs" priority="7" operator="equal" aboveAverage="0" equalAverage="0" bottom="0" percent="0" rank="0" text="" dxfId="10">
      <formula>"High"</formula>
    </cfRule>
    <cfRule type="cellIs" priority="8" operator="equal" aboveAverage="0" equalAverage="0" bottom="0" percent="0" rank="0" text="" dxfId="11">
      <formula>"Medium"</formula>
    </cfRule>
    <cfRule type="cellIs" priority="9" operator="equal" aboveAverage="0" equalAverage="0" bottom="0" percent="0" rank="0" text="" dxfId="12">
      <formula>"Low"</formula>
    </cfRule>
  </conditionalFormatting>
  <dataValidations count="1">
    <dataValidation allowBlank="false" errorStyle="stop" operator="between" showDropDown="false" showErrorMessage="false" showInputMessage="false" sqref="D5:E16 I5:J16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9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10" t="s">
        <v>73</v>
      </c>
      <c r="B4" s="10" t="s">
        <v>74</v>
      </c>
    </row>
    <row r="5" customFormat="false" ht="15" hidden="false" customHeight="false" outlineLevel="0" collapsed="false">
      <c r="A5" s="11" t="s">
        <v>26</v>
      </c>
      <c r="B5" s="12" t="n">
        <v>1</v>
      </c>
    </row>
    <row r="6" customFormat="false" ht="15" hidden="false" customHeight="false" outlineLevel="0" collapsed="false">
      <c r="A6" s="11" t="s">
        <v>20</v>
      </c>
      <c r="B6" s="12" t="n">
        <v>2</v>
      </c>
    </row>
    <row r="7" customFormat="false" ht="15" hidden="false" customHeight="false" outlineLevel="0" collapsed="false">
      <c r="A7" s="11" t="s">
        <v>18</v>
      </c>
      <c r="B7" s="12" t="n">
        <v>3</v>
      </c>
    </row>
    <row r="10" customFormat="false" ht="15" hidden="false" customHeight="false" outlineLevel="0" collapsed="false">
      <c r="A10" s="13" t="s">
        <v>75</v>
      </c>
    </row>
    <row r="11" customFormat="false" ht="15" hidden="false" customHeight="false" outlineLevel="0" collapsed="false">
      <c r="A11" s="10" t="s">
        <v>8</v>
      </c>
      <c r="B11" s="10" t="s">
        <v>76</v>
      </c>
      <c r="C11" s="10" t="s">
        <v>77</v>
      </c>
    </row>
    <row r="12" customFormat="false" ht="15" hidden="false" customHeight="false" outlineLevel="0" collapsed="false">
      <c r="A12" s="14" t="s">
        <v>26</v>
      </c>
      <c r="B12" s="12" t="n">
        <v>1</v>
      </c>
      <c r="C12" s="11" t="s">
        <v>78</v>
      </c>
    </row>
    <row r="13" customFormat="false" ht="15" hidden="false" customHeight="false" outlineLevel="0" collapsed="false">
      <c r="A13" s="15" t="s">
        <v>20</v>
      </c>
      <c r="B13" s="12" t="n">
        <v>3</v>
      </c>
      <c r="C13" s="11" t="s">
        <v>79</v>
      </c>
    </row>
    <row r="14" customFormat="false" ht="15" hidden="false" customHeight="false" outlineLevel="0" collapsed="false">
      <c r="A14" s="16" t="s">
        <v>18</v>
      </c>
      <c r="B14" s="12" t="n">
        <v>6</v>
      </c>
      <c r="C14" s="11" t="s">
        <v>80</v>
      </c>
    </row>
    <row r="15" customFormat="false" ht="15" hidden="false" customHeight="false" outlineLevel="0" collapsed="false">
      <c r="A15" s="17" t="s">
        <v>81</v>
      </c>
      <c r="B15" s="12" t="n">
        <v>9</v>
      </c>
      <c r="C15" s="11" t="s">
        <v>82</v>
      </c>
    </row>
    <row r="17" customFormat="false" ht="15" hidden="false" customHeight="false" outlineLevel="0" collapsed="false">
      <c r="A17" s="13" t="s">
        <v>83</v>
      </c>
    </row>
    <row r="18" customFormat="false" ht="15" hidden="false" customHeight="false" outlineLevel="0" collapsed="false">
      <c r="A18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4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18" t="s">
        <v>87</v>
      </c>
    </row>
    <row r="5" customFormat="false" ht="15" hidden="false" customHeight="false" outlineLevel="0" collapsed="false">
      <c r="A5" s="19" t="s">
        <v>88</v>
      </c>
      <c r="B5" s="19" t="s">
        <v>26</v>
      </c>
      <c r="C5" s="19" t="s">
        <v>20</v>
      </c>
      <c r="D5" s="19" t="s">
        <v>18</v>
      </c>
    </row>
    <row r="6" customFormat="false" ht="48" hidden="false" customHeight="true" outlineLevel="0" collapsed="false">
      <c r="A6" s="19" t="s">
        <v>18</v>
      </c>
      <c r="B6" s="20" t="str">
        <f aca="false">SUBSTITUTE(TRIM(IF(AND('Risk Register'!$D$5="High",'Risk Register'!$E$5="Low"),'Risk Register'!$A$5&amp;" ","")&amp;IF(AND('Risk Register'!$D$6="High",'Risk Register'!$E$6="Low"),'Risk Register'!$A$6&amp;" ","")&amp;IF(AND('Risk Register'!$D$7="High",'Risk Register'!$E$7="Low"),'Risk Register'!$A$7&amp;" ","")&amp;IF(AND('Risk Register'!$D$8="High",'Risk Register'!$E$8="Low"),'Risk Register'!$A$8&amp;" ","")&amp;IF(AND('Risk Register'!$D$9="High",'Risk Register'!$E$9="Low"),'Risk Register'!$A$9&amp;" ","")&amp;IF(AND('Risk Register'!$D$10="High",'Risk Register'!$E$10="Low"),'Risk Register'!$A$10&amp;" ","")&amp;IF(AND('Risk Register'!$D$11="High",'Risk Register'!$E$11="Low"),'Risk Register'!$A$11&amp;" ","")&amp;IF(AND('Risk Register'!$D$12="High",'Risk Register'!$E$12="Low"),'Risk Register'!$A$12&amp;" ","")&amp;IF(AND('Risk Register'!$D$13="High",'Risk Register'!$E$13="Low"),'Risk Register'!$A$13&amp;" ","")&amp;IF(AND('Risk Register'!$D$14="High",'Risk Register'!$E$14="Low"),'Risk Register'!$A$14&amp;" ","")&amp;IF(AND('Risk Register'!$D$15="High",'Risk Register'!$E$15="Low"),'Risk Register'!$A$15&amp;" ","")&amp;IF(AND('Risk Register'!$D$16="High",'Risk Register'!$E$16="Low"),'Risk Register'!$A$16&amp;" ",""))," ",", ")</f>
        <v/>
      </c>
      <c r="C6" s="21" t="str">
        <f aca="false">SUBSTITUTE(TRIM(IF(AND('Risk Register'!$D$5="High",'Risk Register'!$E$5="Medium"),'Risk Register'!$A$5&amp;" ","")&amp;IF(AND('Risk Register'!$D$6="High",'Risk Register'!$E$6="Medium"),'Risk Register'!$A$6&amp;" ","")&amp;IF(AND('Risk Register'!$D$7="High",'Risk Register'!$E$7="Medium"),'Risk Register'!$A$7&amp;" ","")&amp;IF(AND('Risk Register'!$D$8="High",'Risk Register'!$E$8="Medium"),'Risk Register'!$A$8&amp;" ","")&amp;IF(AND('Risk Register'!$D$9="High",'Risk Register'!$E$9="Medium"),'Risk Register'!$A$9&amp;" ","")&amp;IF(AND('Risk Register'!$D$10="High",'Risk Register'!$E$10="Medium"),'Risk Register'!$A$10&amp;" ","")&amp;IF(AND('Risk Register'!$D$11="High",'Risk Register'!$E$11="Medium"),'Risk Register'!$A$11&amp;" ","")&amp;IF(AND('Risk Register'!$D$12="High",'Risk Register'!$E$12="Medium"),'Risk Register'!$A$12&amp;" ","")&amp;IF(AND('Risk Register'!$D$13="High",'Risk Register'!$E$13="Medium"),'Risk Register'!$A$13&amp;" ","")&amp;IF(AND('Risk Register'!$D$14="High",'Risk Register'!$E$14="Medium"),'Risk Register'!$A$14&amp;" ","")&amp;IF(AND('Risk Register'!$D$15="High",'Risk Register'!$E$15="Medium"),'Risk Register'!$A$15&amp;" ","")&amp;IF(AND('Risk Register'!$D$16="High",'Risk Register'!$E$16="Medium"),'Risk Register'!$A$16&amp;" ",""))," ",", ")</f>
        <v>R7</v>
      </c>
      <c r="D6" s="22" t="str">
        <f aca="false">SUBSTITUTE(TRIM(IF(AND('Risk Register'!$D$5="High",'Risk Register'!$E$5="High"),'Risk Register'!$A$5&amp;" ","")&amp;IF(AND('Risk Register'!$D$6="High",'Risk Register'!$E$6="High"),'Risk Register'!$A$6&amp;" ","")&amp;IF(AND('Risk Register'!$D$7="High",'Risk Register'!$E$7="High"),'Risk Register'!$A$7&amp;" ","")&amp;IF(AND('Risk Register'!$D$8="High",'Risk Register'!$E$8="High"),'Risk Register'!$A$8&amp;" ","")&amp;IF(AND('Risk Register'!$D$9="High",'Risk Register'!$E$9="High"),'Risk Register'!$A$9&amp;" ","")&amp;IF(AND('Risk Register'!$D$10="High",'Risk Register'!$E$10="High"),'Risk Register'!$A$10&amp;" ","")&amp;IF(AND('Risk Register'!$D$11="High",'Risk Register'!$E$11="High"),'Risk Register'!$A$11&amp;" ","")&amp;IF(AND('Risk Register'!$D$12="High",'Risk Register'!$E$12="High"),'Risk Register'!$A$12&amp;" ","")&amp;IF(AND('Risk Register'!$D$13="High",'Risk Register'!$E$13="High"),'Risk Register'!$A$13&amp;" ","")&amp;IF(AND('Risk Register'!$D$14="High",'Risk Register'!$E$14="High"),'Risk Register'!$A$14&amp;" ","")&amp;IF(AND('Risk Register'!$D$15="High",'Risk Register'!$E$15="High"),'Risk Register'!$A$15&amp;" ","")&amp;IF(AND('Risk Register'!$D$16="High",'Risk Register'!$E$16="High"),'Risk Register'!$A$16&amp;" ",""))," ",", ")</f>
        <v>R1</v>
      </c>
    </row>
    <row r="7" customFormat="false" ht="48" hidden="false" customHeight="true" outlineLevel="0" collapsed="false">
      <c r="A7" s="19" t="s">
        <v>20</v>
      </c>
      <c r="B7" s="23" t="str">
        <f aca="false">SUBSTITUTE(TRIM(IF(AND('Risk Register'!$D$5="Medium",'Risk Register'!$E$5="Low"),'Risk Register'!$A$5&amp;" ","")&amp;IF(AND('Risk Register'!$D$6="Medium",'Risk Register'!$E$6="Low"),'Risk Register'!$A$6&amp;" ","")&amp;IF(AND('Risk Register'!$D$7="Medium",'Risk Register'!$E$7="Low"),'Risk Register'!$A$7&amp;" ","")&amp;IF(AND('Risk Register'!$D$8="Medium",'Risk Register'!$E$8="Low"),'Risk Register'!$A$8&amp;" ","")&amp;IF(AND('Risk Register'!$D$9="Medium",'Risk Register'!$E$9="Low"),'Risk Register'!$A$9&amp;" ","")&amp;IF(AND('Risk Register'!$D$10="Medium",'Risk Register'!$E$10="Low"),'Risk Register'!$A$10&amp;" ","")&amp;IF(AND('Risk Register'!$D$11="Medium",'Risk Register'!$E$11="Low"),'Risk Register'!$A$11&amp;" ","")&amp;IF(AND('Risk Register'!$D$12="Medium",'Risk Register'!$E$12="Low"),'Risk Register'!$A$12&amp;" ","")&amp;IF(AND('Risk Register'!$D$13="Medium",'Risk Register'!$E$13="Low"),'Risk Register'!$A$13&amp;" ","")&amp;IF(AND('Risk Register'!$D$14="Medium",'Risk Register'!$E$14="Low"),'Risk Register'!$A$14&amp;" ","")&amp;IF(AND('Risk Register'!$D$15="Medium",'Risk Register'!$E$15="Low"),'Risk Register'!$A$15&amp;" ","")&amp;IF(AND('Risk Register'!$D$16="Medium",'Risk Register'!$E$16="Low"),'Risk Register'!$A$16&amp;" ",""))," ",", ")</f>
        <v/>
      </c>
      <c r="C7" s="20" t="str">
        <f aca="false">SUBSTITUTE(TRIM(IF(AND('Risk Register'!$D$5="Medium",'Risk Register'!$E$5="Medium"),'Risk Register'!$A$5&amp;" ","")&amp;IF(AND('Risk Register'!$D$6="Medium",'Risk Register'!$E$6="Medium"),'Risk Register'!$A$6&amp;" ","")&amp;IF(AND('Risk Register'!$D$7="Medium",'Risk Register'!$E$7="Medium"),'Risk Register'!$A$7&amp;" ","")&amp;IF(AND('Risk Register'!$D$8="Medium",'Risk Register'!$E$8="Medium"),'Risk Register'!$A$8&amp;" ","")&amp;IF(AND('Risk Register'!$D$9="Medium",'Risk Register'!$E$9="Medium"),'Risk Register'!$A$9&amp;" ","")&amp;IF(AND('Risk Register'!$D$10="Medium",'Risk Register'!$E$10="Medium"),'Risk Register'!$A$10&amp;" ","")&amp;IF(AND('Risk Register'!$D$11="Medium",'Risk Register'!$E$11="Medium"),'Risk Register'!$A$11&amp;" ","")&amp;IF(AND('Risk Register'!$D$12="Medium",'Risk Register'!$E$12="Medium"),'Risk Register'!$A$12&amp;" ","")&amp;IF(AND('Risk Register'!$D$13="Medium",'Risk Register'!$E$13="Medium"),'Risk Register'!$A$13&amp;" ","")&amp;IF(AND('Risk Register'!$D$14="Medium",'Risk Register'!$E$14="Medium"),'Risk Register'!$A$14&amp;" ","")&amp;IF(AND('Risk Register'!$D$15="Medium",'Risk Register'!$E$15="Medium"),'Risk Register'!$A$15&amp;" ","")&amp;IF(AND('Risk Register'!$D$16="Medium",'Risk Register'!$E$16="Medium"),'Risk Register'!$A$16&amp;" ",""))," ",", ")</f>
        <v>R3, R8, R9</v>
      </c>
      <c r="D7" s="21" t="str">
        <f aca="false">SUBSTITUTE(TRIM(IF(AND('Risk Register'!$D$5="Medium",'Risk Register'!$E$5="High"),'Risk Register'!$A$5&amp;" ","")&amp;IF(AND('Risk Register'!$D$6="Medium",'Risk Register'!$E$6="High"),'Risk Register'!$A$6&amp;" ","")&amp;IF(AND('Risk Register'!$D$7="Medium",'Risk Register'!$E$7="High"),'Risk Register'!$A$7&amp;" ","")&amp;IF(AND('Risk Register'!$D$8="Medium",'Risk Register'!$E$8="High"),'Risk Register'!$A$8&amp;" ","")&amp;IF(AND('Risk Register'!$D$9="Medium",'Risk Register'!$E$9="High"),'Risk Register'!$A$9&amp;" ","")&amp;IF(AND('Risk Register'!$D$10="Medium",'Risk Register'!$E$10="High"),'Risk Register'!$A$10&amp;" ","")&amp;IF(AND('Risk Register'!$D$11="Medium",'Risk Register'!$E$11="High"),'Risk Register'!$A$11&amp;" ","")&amp;IF(AND('Risk Register'!$D$12="Medium",'Risk Register'!$E$12="High"),'Risk Register'!$A$12&amp;" ","")&amp;IF(AND('Risk Register'!$D$13="Medium",'Risk Register'!$E$13="High"),'Risk Register'!$A$13&amp;" ","")&amp;IF(AND('Risk Register'!$D$14="Medium",'Risk Register'!$E$14="High"),'Risk Register'!$A$14&amp;" ","")&amp;IF(AND('Risk Register'!$D$15="Medium",'Risk Register'!$E$15="High"),'Risk Register'!$A$15&amp;" ","")&amp;IF(AND('Risk Register'!$D$16="Medium",'Risk Register'!$E$16="High"),'Risk Register'!$A$16&amp;" ",""))," ",", ")</f>
        <v>R2, R4, R5, R6</v>
      </c>
    </row>
    <row r="8" customFormat="false" ht="48" hidden="false" customHeight="true" outlineLevel="0" collapsed="false">
      <c r="A8" s="19" t="s">
        <v>26</v>
      </c>
      <c r="B8" s="23" t="str">
        <f aca="false">SUBSTITUTE(TRIM(IF(AND('Risk Register'!$D$5="Low",'Risk Register'!$E$5="Low"),'Risk Register'!$A$5&amp;" ","")&amp;IF(AND('Risk Register'!$D$6="Low",'Risk Register'!$E$6="Low"),'Risk Register'!$A$6&amp;" ","")&amp;IF(AND('Risk Register'!$D$7="Low",'Risk Register'!$E$7="Low"),'Risk Register'!$A$7&amp;" ","")&amp;IF(AND('Risk Register'!$D$8="Low",'Risk Register'!$E$8="Low"),'Risk Register'!$A$8&amp;" ","")&amp;IF(AND('Risk Register'!$D$9="Low",'Risk Register'!$E$9="Low"),'Risk Register'!$A$9&amp;" ","")&amp;IF(AND('Risk Register'!$D$10="Low",'Risk Register'!$E$10="Low"),'Risk Register'!$A$10&amp;" ","")&amp;IF(AND('Risk Register'!$D$11="Low",'Risk Register'!$E$11="Low"),'Risk Register'!$A$11&amp;" ","")&amp;IF(AND('Risk Register'!$D$12="Low",'Risk Register'!$E$12="Low"),'Risk Register'!$A$12&amp;" ","")&amp;IF(AND('Risk Register'!$D$13="Low",'Risk Register'!$E$13="Low"),'Risk Register'!$A$13&amp;" ","")&amp;IF(AND('Risk Register'!$D$14="Low",'Risk Register'!$E$14="Low"),'Risk Register'!$A$14&amp;" ","")&amp;IF(AND('Risk Register'!$D$15="Low",'Risk Register'!$E$15="Low"),'Risk Register'!$A$15&amp;" ","")&amp;IF(AND('Risk Register'!$D$16="Low",'Risk Register'!$E$16="Low"),'Risk Register'!$A$16&amp;" ",""))," ",", ")</f>
        <v/>
      </c>
      <c r="C8" s="23" t="str">
        <f aca="false">SUBSTITUTE(TRIM(IF(AND('Risk Register'!$D$5="Low",'Risk Register'!$E$5="Medium"),'Risk Register'!$A$5&amp;" ","")&amp;IF(AND('Risk Register'!$D$6="Low",'Risk Register'!$E$6="Medium"),'Risk Register'!$A$6&amp;" ","")&amp;IF(AND('Risk Register'!$D$7="Low",'Risk Register'!$E$7="Medium"),'Risk Register'!$A$7&amp;" ","")&amp;IF(AND('Risk Register'!$D$8="Low",'Risk Register'!$E$8="Medium"),'Risk Register'!$A$8&amp;" ","")&amp;IF(AND('Risk Register'!$D$9="Low",'Risk Register'!$E$9="Medium"),'Risk Register'!$A$9&amp;" ","")&amp;IF(AND('Risk Register'!$D$10="Low",'Risk Register'!$E$10="Medium"),'Risk Register'!$A$10&amp;" ","")&amp;IF(AND('Risk Register'!$D$11="Low",'Risk Register'!$E$11="Medium"),'Risk Register'!$A$11&amp;" ","")&amp;IF(AND('Risk Register'!$D$12="Low",'Risk Register'!$E$12="Medium"),'Risk Register'!$A$12&amp;" ","")&amp;IF(AND('Risk Register'!$D$13="Low",'Risk Register'!$E$13="Medium"),'Risk Register'!$A$13&amp;" ","")&amp;IF(AND('Risk Register'!$D$14="Low",'Risk Register'!$E$14="Medium"),'Risk Register'!$A$14&amp;" ","")&amp;IF(AND('Risk Register'!$D$15="Low",'Risk Register'!$E$15="Medium"),'Risk Register'!$A$15&amp;" ","")&amp;IF(AND('Risk Register'!$D$16="Low",'Risk Register'!$E$16="Medium"),'Risk Register'!$A$16&amp;" ",""))," ",", ")</f>
        <v>R12</v>
      </c>
      <c r="D8" s="20" t="str">
        <f aca="false">SUBSTITUTE(TRIM(IF(AND('Risk Register'!$D$5="Low",'Risk Register'!$E$5="High"),'Risk Register'!$A$5&amp;" ","")&amp;IF(AND('Risk Register'!$D$6="Low",'Risk Register'!$E$6="High"),'Risk Register'!$A$6&amp;" ","")&amp;IF(AND('Risk Register'!$D$7="Low",'Risk Register'!$E$7="High"),'Risk Register'!$A$7&amp;" ","")&amp;IF(AND('Risk Register'!$D$8="Low",'Risk Register'!$E$8="High"),'Risk Register'!$A$8&amp;" ","")&amp;IF(AND('Risk Register'!$D$9="Low",'Risk Register'!$E$9="High"),'Risk Register'!$A$9&amp;" ","")&amp;IF(AND('Risk Register'!$D$10="Low",'Risk Register'!$E$10="High"),'Risk Register'!$A$10&amp;" ","")&amp;IF(AND('Risk Register'!$D$11="Low",'Risk Register'!$E$11="High"),'Risk Register'!$A$11&amp;" ","")&amp;IF(AND('Risk Register'!$D$12="Low",'Risk Register'!$E$12="High"),'Risk Register'!$A$12&amp;" ","")&amp;IF(AND('Risk Register'!$D$13="Low",'Risk Register'!$E$13="High"),'Risk Register'!$A$13&amp;" ","")&amp;IF(AND('Risk Register'!$D$14="Low",'Risk Register'!$E$14="High"),'Risk Register'!$A$14&amp;" ","")&amp;IF(AND('Risk Register'!$D$15="Low",'Risk Register'!$E$15="High"),'Risk Register'!$A$15&amp;" ","")&amp;IF(AND('Risk Register'!$D$16="Low",'Risk Register'!$E$16="High"),'Risk Register'!$A$16&amp;" ",""))," ",", ")</f>
        <v>R10, R11</v>
      </c>
    </row>
    <row r="11" customFormat="false" ht="15" hidden="false" customHeight="false" outlineLevel="0" collapsed="false">
      <c r="A11" s="18" t="s">
        <v>89</v>
      </c>
    </row>
    <row r="12" customFormat="false" ht="15" hidden="false" customHeight="false" outlineLevel="0" collapsed="false">
      <c r="A12" s="19" t="s">
        <v>88</v>
      </c>
      <c r="B12" s="19" t="s">
        <v>26</v>
      </c>
      <c r="C12" s="19" t="s">
        <v>20</v>
      </c>
      <c r="D12" s="19" t="s">
        <v>18</v>
      </c>
    </row>
    <row r="13" customFormat="false" ht="48" hidden="false" customHeight="true" outlineLevel="0" collapsed="false">
      <c r="A13" s="19" t="s">
        <v>18</v>
      </c>
      <c r="B13" s="20" t="str">
        <f aca="false">SUBSTITUTE(TRIM(IF(AND('Risk Register'!$I$5="High",'Risk Register'!$J$5="Low"),'Risk Register'!$A$5&amp;" ","")&amp;IF(AND('Risk Register'!$I$6="High",'Risk Register'!$J$6="Low"),'Risk Register'!$A$6&amp;" ","")&amp;IF(AND('Risk Register'!$I$7="High",'Risk Register'!$J$7="Low"),'Risk Register'!$A$7&amp;" ","")&amp;IF(AND('Risk Register'!$I$8="High",'Risk Register'!$J$8="Low"),'Risk Register'!$A$8&amp;" ","")&amp;IF(AND('Risk Register'!$I$9="High",'Risk Register'!$J$9="Low"),'Risk Register'!$A$9&amp;" ","")&amp;IF(AND('Risk Register'!$I$10="High",'Risk Register'!$J$10="Low"),'Risk Register'!$A$10&amp;" ","")&amp;IF(AND('Risk Register'!$I$11="High",'Risk Register'!$J$11="Low"),'Risk Register'!$A$11&amp;" ","")&amp;IF(AND('Risk Register'!$I$12="High",'Risk Register'!$J$12="Low"),'Risk Register'!$A$12&amp;" ","")&amp;IF(AND('Risk Register'!$I$13="High",'Risk Register'!$J$13="Low"),'Risk Register'!$A$13&amp;" ","")&amp;IF(AND('Risk Register'!$I$14="High",'Risk Register'!$J$14="Low"),'Risk Register'!$A$14&amp;" ","")&amp;IF(AND('Risk Register'!$I$15="High",'Risk Register'!$J$15="Low"),'Risk Register'!$A$15&amp;" ","")&amp;IF(AND('Risk Register'!$I$16="High",'Risk Register'!$J$16="Low"),'Risk Register'!$A$16&amp;" ",""))," ",", ")</f>
        <v/>
      </c>
      <c r="C13" s="21" t="str">
        <f aca="false">SUBSTITUTE(TRIM(IF(AND('Risk Register'!$I$5="High",'Risk Register'!$J$5="Medium"),'Risk Register'!$A$5&amp;" ","")&amp;IF(AND('Risk Register'!$I$6="High",'Risk Register'!$J$6="Medium"),'Risk Register'!$A$6&amp;" ","")&amp;IF(AND('Risk Register'!$I$7="High",'Risk Register'!$J$7="Medium"),'Risk Register'!$A$7&amp;" ","")&amp;IF(AND('Risk Register'!$I$8="High",'Risk Register'!$J$8="Medium"),'Risk Register'!$A$8&amp;" ","")&amp;IF(AND('Risk Register'!$I$9="High",'Risk Register'!$J$9="Medium"),'Risk Register'!$A$9&amp;" ","")&amp;IF(AND('Risk Register'!$I$10="High",'Risk Register'!$J$10="Medium"),'Risk Register'!$A$10&amp;" ","")&amp;IF(AND('Risk Register'!$I$11="High",'Risk Register'!$J$11="Medium"),'Risk Register'!$A$11&amp;" ","")&amp;IF(AND('Risk Register'!$I$12="High",'Risk Register'!$J$12="Medium"),'Risk Register'!$A$12&amp;" ","")&amp;IF(AND('Risk Register'!$I$13="High",'Risk Register'!$J$13="Medium"),'Risk Register'!$A$13&amp;" ","")&amp;IF(AND('Risk Register'!$I$14="High",'Risk Register'!$J$14="Medium"),'Risk Register'!$A$14&amp;" ","")&amp;IF(AND('Risk Register'!$I$15="High",'Risk Register'!$J$15="Medium"),'Risk Register'!$A$15&amp;" ","")&amp;IF(AND('Risk Register'!$I$16="High",'Risk Register'!$J$16="Medium"),'Risk Register'!$A$16&amp;" ",""))," ",", ")</f>
        <v/>
      </c>
      <c r="D13" s="22" t="str">
        <f aca="false">SUBSTITUTE(TRIM(IF(AND('Risk Register'!$I$5="High",'Risk Register'!$J$5="High"),'Risk Register'!$A$5&amp;" ","")&amp;IF(AND('Risk Register'!$I$6="High",'Risk Register'!$J$6="High"),'Risk Register'!$A$6&amp;" ","")&amp;IF(AND('Risk Register'!$I$7="High",'Risk Register'!$J$7="High"),'Risk Register'!$A$7&amp;" ","")&amp;IF(AND('Risk Register'!$I$8="High",'Risk Register'!$J$8="High"),'Risk Register'!$A$8&amp;" ","")&amp;IF(AND('Risk Register'!$I$9="High",'Risk Register'!$J$9="High"),'Risk Register'!$A$9&amp;" ","")&amp;IF(AND('Risk Register'!$I$10="High",'Risk Register'!$J$10="High"),'Risk Register'!$A$10&amp;" ","")&amp;IF(AND('Risk Register'!$I$11="High",'Risk Register'!$J$11="High"),'Risk Register'!$A$11&amp;" ","")&amp;IF(AND('Risk Register'!$I$12="High",'Risk Register'!$J$12="High"),'Risk Register'!$A$12&amp;" ","")&amp;IF(AND('Risk Register'!$I$13="High",'Risk Register'!$J$13="High"),'Risk Register'!$A$13&amp;" ","")&amp;IF(AND('Risk Register'!$I$14="High",'Risk Register'!$J$14="High"),'Risk Register'!$A$14&amp;" ","")&amp;IF(AND('Risk Register'!$I$15="High",'Risk Register'!$J$15="High"),'Risk Register'!$A$15&amp;" ","")&amp;IF(AND('Risk Register'!$I$16="High",'Risk Register'!$J$16="High"),'Risk Register'!$A$16&amp;" ",""))," ",", ")</f>
        <v/>
      </c>
    </row>
    <row r="14" customFormat="false" ht="48" hidden="false" customHeight="true" outlineLevel="0" collapsed="false">
      <c r="A14" s="19" t="s">
        <v>20</v>
      </c>
      <c r="B14" s="23" t="str">
        <f aca="false">SUBSTITUTE(TRIM(IF(AND('Risk Register'!$I$5="Medium",'Risk Register'!$J$5="Low"),'Risk Register'!$A$5&amp;" ","")&amp;IF(AND('Risk Register'!$I$6="Medium",'Risk Register'!$J$6="Low"),'Risk Register'!$A$6&amp;" ","")&amp;IF(AND('Risk Register'!$I$7="Medium",'Risk Register'!$J$7="Low"),'Risk Register'!$A$7&amp;" ","")&amp;IF(AND('Risk Register'!$I$8="Medium",'Risk Register'!$J$8="Low"),'Risk Register'!$A$8&amp;" ","")&amp;IF(AND('Risk Register'!$I$9="Medium",'Risk Register'!$J$9="Low"),'Risk Register'!$A$9&amp;" ","")&amp;IF(AND('Risk Register'!$I$10="Medium",'Risk Register'!$J$10="Low"),'Risk Register'!$A$10&amp;" ","")&amp;IF(AND('Risk Register'!$I$11="Medium",'Risk Register'!$J$11="Low"),'Risk Register'!$A$11&amp;" ","")&amp;IF(AND('Risk Register'!$I$12="Medium",'Risk Register'!$J$12="Low"),'Risk Register'!$A$12&amp;" ","")&amp;IF(AND('Risk Register'!$I$13="Medium",'Risk Register'!$J$13="Low"),'Risk Register'!$A$13&amp;" ","")&amp;IF(AND('Risk Register'!$I$14="Medium",'Risk Register'!$J$14="Low"),'Risk Register'!$A$14&amp;" ","")&amp;IF(AND('Risk Register'!$I$15="Medium",'Risk Register'!$J$15="Low"),'Risk Register'!$A$15&amp;" ","")&amp;IF(AND('Risk Register'!$I$16="Medium",'Risk Register'!$J$16="Low"),'Risk Register'!$A$16&amp;" ",""))," ",", ")</f>
        <v>R6</v>
      </c>
      <c r="C14" s="20" t="str">
        <f aca="false">SUBSTITUTE(TRIM(IF(AND('Risk Register'!$I$5="Medium",'Risk Register'!$J$5="Medium"),'Risk Register'!$A$5&amp;" ","")&amp;IF(AND('Risk Register'!$I$6="Medium",'Risk Register'!$J$6="Medium"),'Risk Register'!$A$6&amp;" ","")&amp;IF(AND('Risk Register'!$I$7="Medium",'Risk Register'!$J$7="Medium"),'Risk Register'!$A$7&amp;" ","")&amp;IF(AND('Risk Register'!$I$8="Medium",'Risk Register'!$J$8="Medium"),'Risk Register'!$A$8&amp;" ","")&amp;IF(AND('Risk Register'!$I$9="Medium",'Risk Register'!$J$9="Medium"),'Risk Register'!$A$9&amp;" ","")&amp;IF(AND('Risk Register'!$I$10="Medium",'Risk Register'!$J$10="Medium"),'Risk Register'!$A$10&amp;" ","")&amp;IF(AND('Risk Register'!$I$11="Medium",'Risk Register'!$J$11="Medium"),'Risk Register'!$A$11&amp;" ","")&amp;IF(AND('Risk Register'!$I$12="Medium",'Risk Register'!$J$12="Medium"),'Risk Register'!$A$12&amp;" ","")&amp;IF(AND('Risk Register'!$I$13="Medium",'Risk Register'!$J$13="Medium"),'Risk Register'!$A$13&amp;" ","")&amp;IF(AND('Risk Register'!$I$14="Medium",'Risk Register'!$J$14="Medium"),'Risk Register'!$A$14&amp;" ","")&amp;IF(AND('Risk Register'!$I$15="Medium",'Risk Register'!$J$15="Medium"),'Risk Register'!$A$15&amp;" ","")&amp;IF(AND('Risk Register'!$I$16="Medium",'Risk Register'!$J$16="Medium"),'Risk Register'!$A$16&amp;" ",""))," ",", ")</f>
        <v>R1</v>
      </c>
      <c r="D14" s="21" t="str">
        <f aca="false">SUBSTITUTE(TRIM(IF(AND('Risk Register'!$I$5="Medium",'Risk Register'!$J$5="High"),'Risk Register'!$A$5&amp;" ","")&amp;IF(AND('Risk Register'!$I$6="Medium",'Risk Register'!$J$6="High"),'Risk Register'!$A$6&amp;" ","")&amp;IF(AND('Risk Register'!$I$7="Medium",'Risk Register'!$J$7="High"),'Risk Register'!$A$7&amp;" ","")&amp;IF(AND('Risk Register'!$I$8="Medium",'Risk Register'!$J$8="High"),'Risk Register'!$A$8&amp;" ","")&amp;IF(AND('Risk Register'!$I$9="Medium",'Risk Register'!$J$9="High"),'Risk Register'!$A$9&amp;" ","")&amp;IF(AND('Risk Register'!$I$10="Medium",'Risk Register'!$J$10="High"),'Risk Register'!$A$10&amp;" ","")&amp;IF(AND('Risk Register'!$I$11="Medium",'Risk Register'!$J$11="High"),'Risk Register'!$A$11&amp;" ","")&amp;IF(AND('Risk Register'!$I$12="Medium",'Risk Register'!$J$12="High"),'Risk Register'!$A$12&amp;" ","")&amp;IF(AND('Risk Register'!$I$13="Medium",'Risk Register'!$J$13="High"),'Risk Register'!$A$13&amp;" ","")&amp;IF(AND('Risk Register'!$I$14="Medium",'Risk Register'!$J$14="High"),'Risk Register'!$A$14&amp;" ","")&amp;IF(AND('Risk Register'!$I$15="Medium",'Risk Register'!$J$15="High"),'Risk Register'!$A$15&amp;" ","")&amp;IF(AND('Risk Register'!$I$16="Medium",'Risk Register'!$J$16="High"),'Risk Register'!$A$16&amp;" ",""))," ",", ")</f>
        <v/>
      </c>
    </row>
    <row r="15" customFormat="false" ht="48" hidden="false" customHeight="true" outlineLevel="0" collapsed="false">
      <c r="A15" s="19" t="s">
        <v>26</v>
      </c>
      <c r="B15" s="23" t="str">
        <f aca="false">SUBSTITUTE(TRIM(IF(AND('Risk Register'!$I$5="Low",'Risk Register'!$J$5="Low"),'Risk Register'!$A$5&amp;" ","")&amp;IF(AND('Risk Register'!$I$6="Low",'Risk Register'!$J$6="Low"),'Risk Register'!$A$6&amp;" ","")&amp;IF(AND('Risk Register'!$I$7="Low",'Risk Register'!$J$7="Low"),'Risk Register'!$A$7&amp;" ","")&amp;IF(AND('Risk Register'!$I$8="Low",'Risk Register'!$J$8="Low"),'Risk Register'!$A$8&amp;" ","")&amp;IF(AND('Risk Register'!$I$9="Low",'Risk Register'!$J$9="Low"),'Risk Register'!$A$9&amp;" ","")&amp;IF(AND('Risk Register'!$I$10="Low",'Risk Register'!$J$10="Low"),'Risk Register'!$A$10&amp;" ","")&amp;IF(AND('Risk Register'!$I$11="Low",'Risk Register'!$J$11="Low"),'Risk Register'!$A$11&amp;" ","")&amp;IF(AND('Risk Register'!$I$12="Low",'Risk Register'!$J$12="Low"),'Risk Register'!$A$12&amp;" ","")&amp;IF(AND('Risk Register'!$I$13="Low",'Risk Register'!$J$13="Low"),'Risk Register'!$A$13&amp;" ","")&amp;IF(AND('Risk Register'!$I$14="Low",'Risk Register'!$J$14="Low"),'Risk Register'!$A$14&amp;" ","")&amp;IF(AND('Risk Register'!$I$15="Low",'Risk Register'!$J$15="Low"),'Risk Register'!$A$15&amp;" ","")&amp;IF(AND('Risk Register'!$I$16="Low",'Risk Register'!$J$16="Low"),'Risk Register'!$A$16&amp;" ",""))," ",", ")</f>
        <v>R9, R12</v>
      </c>
      <c r="C15" s="23" t="str">
        <f aca="false">SUBSTITUTE(TRIM(IF(AND('Risk Register'!$I$5="Low",'Risk Register'!$J$5="Medium"),'Risk Register'!$A$5&amp;" ","")&amp;IF(AND('Risk Register'!$I$6="Low",'Risk Register'!$J$6="Medium"),'Risk Register'!$A$6&amp;" ","")&amp;IF(AND('Risk Register'!$I$7="Low",'Risk Register'!$J$7="Medium"),'Risk Register'!$A$7&amp;" ","")&amp;IF(AND('Risk Register'!$I$8="Low",'Risk Register'!$J$8="Medium"),'Risk Register'!$A$8&amp;" ","")&amp;IF(AND('Risk Register'!$I$9="Low",'Risk Register'!$J$9="Medium"),'Risk Register'!$A$9&amp;" ","")&amp;IF(AND('Risk Register'!$I$10="Low",'Risk Register'!$J$10="Medium"),'Risk Register'!$A$10&amp;" ","")&amp;IF(AND('Risk Register'!$I$11="Low",'Risk Register'!$J$11="Medium"),'Risk Register'!$A$11&amp;" ","")&amp;IF(AND('Risk Register'!$I$12="Low",'Risk Register'!$J$12="Medium"),'Risk Register'!$A$12&amp;" ","")&amp;IF(AND('Risk Register'!$I$13="Low",'Risk Register'!$J$13="Medium"),'Risk Register'!$A$13&amp;" ","")&amp;IF(AND('Risk Register'!$I$14="Low",'Risk Register'!$J$14="Medium"),'Risk Register'!$A$14&amp;" ","")&amp;IF(AND('Risk Register'!$I$15="Low",'Risk Register'!$J$15="Medium"),'Risk Register'!$A$15&amp;" ","")&amp;IF(AND('Risk Register'!$I$16="Low",'Risk Register'!$J$16="Medium"),'Risk Register'!$A$16&amp;" ",""))," ",", ")</f>
        <v>R3, R4, R5, R7, R8, R10, R11</v>
      </c>
      <c r="D15" s="20" t="str">
        <f aca="false">SUBSTITUTE(TRIM(IF(AND('Risk Register'!$I$5="Low",'Risk Register'!$J$5="High"),'Risk Register'!$A$5&amp;" ","")&amp;IF(AND('Risk Register'!$I$6="Low",'Risk Register'!$J$6="High"),'Risk Register'!$A$6&amp;" ","")&amp;IF(AND('Risk Register'!$I$7="Low",'Risk Register'!$J$7="High"),'Risk Register'!$A$7&amp;" ","")&amp;IF(AND('Risk Register'!$I$8="Low",'Risk Register'!$J$8="High"),'Risk Register'!$A$8&amp;" ","")&amp;IF(AND('Risk Register'!$I$9="Low",'Risk Register'!$J$9="High"),'Risk Register'!$A$9&amp;" ","")&amp;IF(AND('Risk Register'!$I$10="Low",'Risk Register'!$J$10="High"),'Risk Register'!$A$10&amp;" ","")&amp;IF(AND('Risk Register'!$I$11="Low",'Risk Register'!$J$11="High"),'Risk Register'!$A$11&amp;" ","")&amp;IF(AND('Risk Register'!$I$12="Low",'Risk Register'!$J$12="High"),'Risk Register'!$A$12&amp;" ","")&amp;IF(AND('Risk Register'!$I$13="Low",'Risk Register'!$J$13="High"),'Risk Register'!$A$13&amp;" ","")&amp;IF(AND('Risk Register'!$I$14="Low",'Risk Register'!$J$14="High"),'Risk Register'!$A$14&amp;" ","")&amp;IF(AND('Risk Register'!$I$15="Low",'Risk Register'!$J$15="High"),'Risk Register'!$A$15&amp;" ","")&amp;IF(AND('Risk Register'!$I$16="Low",'Risk Register'!$J$16="High"),'Risk Register'!$A$16&amp;" ",""))," ",", ")</f>
        <v>R2</v>
      </c>
    </row>
    <row r="18" customFormat="false" ht="15" hidden="false" customHeight="false" outlineLevel="0" collapsed="false">
      <c r="A18" s="18" t="s">
        <v>90</v>
      </c>
    </row>
    <row r="19" customFormat="false" ht="15" hidden="false" customHeight="false" outlineLevel="0" collapsed="false">
      <c r="A19" s="24" t="s">
        <v>8</v>
      </c>
      <c r="B19" s="24" t="s">
        <v>91</v>
      </c>
      <c r="C19" s="24" t="s">
        <v>92</v>
      </c>
    </row>
    <row r="20" customFormat="false" ht="15" hidden="false" customHeight="false" outlineLevel="0" collapsed="false">
      <c r="A20" s="25" t="s">
        <v>81</v>
      </c>
      <c r="B20" s="26" t="n">
        <f aca="false">COUNTIF('Risk Register'!$G$5:$G$16,A20)</f>
        <v>1</v>
      </c>
      <c r="C20" s="26" t="n">
        <f aca="false">COUNTIF('Risk Register'!$L$5:$L$16,A20)</f>
        <v>0</v>
      </c>
    </row>
    <row r="21" customFormat="false" ht="15" hidden="false" customHeight="false" outlineLevel="0" collapsed="false">
      <c r="A21" s="27" t="s">
        <v>18</v>
      </c>
      <c r="B21" s="26" t="n">
        <f aca="false">COUNTIF('Risk Register'!$G$5:$G$16,A21)</f>
        <v>5</v>
      </c>
      <c r="C21" s="26" t="n">
        <f aca="false">COUNTIF('Risk Register'!$L$5:$L$16,A21)</f>
        <v>0</v>
      </c>
    </row>
    <row r="22" customFormat="false" ht="15" hidden="false" customHeight="false" outlineLevel="0" collapsed="false">
      <c r="A22" s="28" t="s">
        <v>20</v>
      </c>
      <c r="B22" s="26" t="n">
        <f aca="false">COUNTIF('Risk Register'!$G$5:$G$16,A22)</f>
        <v>5</v>
      </c>
      <c r="C22" s="26" t="n">
        <f aca="false">COUNTIF('Risk Register'!$L$5:$L$16,A22)</f>
        <v>2</v>
      </c>
    </row>
    <row r="23" customFormat="false" ht="15" hidden="false" customHeight="false" outlineLevel="0" collapsed="false">
      <c r="A23" s="29" t="s">
        <v>26</v>
      </c>
      <c r="B23" s="26" t="n">
        <f aca="false">COUNTIF('Risk Register'!$G$5:$G$16,A23)</f>
        <v>1</v>
      </c>
      <c r="C23" s="26" t="n">
        <f aca="false">COUNTIF('Risk Register'!$L$5:$L$16,A23)</f>
        <v>10</v>
      </c>
    </row>
    <row r="24" customFormat="false" ht="15" hidden="false" customHeight="false" outlineLevel="0" collapsed="false">
      <c r="A24" s="30" t="s">
        <v>93</v>
      </c>
      <c r="B24" s="30" t="n">
        <f aca="false">SUM(B20:B23)</f>
        <v>12</v>
      </c>
      <c r="C24" s="30" t="n">
        <f aca="false">SUM(C20:C23)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2026-09-28T09:20:23Z</dcterms:created>
  <dc:creator>openpyxl</dc:creator>
  <dc:description/>
  <dc:language>en-US</dc:language>
  <cp:lastModifiedBy/>
  <dcterms:modified xsi:type="dcterms:W3CDTF">2026-09-28T09:20:23Z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