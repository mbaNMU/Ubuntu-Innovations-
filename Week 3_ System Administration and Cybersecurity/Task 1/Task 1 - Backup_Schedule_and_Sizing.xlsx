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izing and Cost" sheetId="1" state="visible" r:id="rId3"/>
    <sheet name="Backup Schedule" sheetId="2" state="visible" r:id="rId4"/>
    <sheet name="RTO and RPO" sheetId="3" state="visible" r:id="rId5"/>
    <sheet name="Restore Test Log"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<sst xmlns="http://schemas.openxmlformats.org/spreadsheetml/2006/main" count="660" uniqueCount="481">
  <si>
    <t xml:space="preserve">Ubuntu Innovations (Pty) Ltd — Backup Sizing, Timing and Cost</t>
  </si>
  <si>
    <t xml:space="preserve">Week 3 Task 1 | Blue = editable assumption, green = read from another sheet, black = formula. Replace the assumptions with measured values after the first month (du -sh, backup logs).</t>
  </si>
  <si>
    <t xml:space="preserve">A. Assumptions</t>
  </si>
  <si>
    <t xml:space="preserve">Input</t>
  </si>
  <si>
    <t xml:space="preserve">Value</t>
  </si>
  <si>
    <t xml:space="preserve">Unit</t>
  </si>
  <si>
    <t xml:space="preserve">Source / note</t>
  </si>
  <si>
    <t xml:space="preserve">Standard drive sizes</t>
  </si>
  <si>
    <t xml:space="preserve">TB</t>
  </si>
  <si>
    <t xml:space="preserve">Internet link speed (symmetric)</t>
  </si>
  <si>
    <t xml:space="preserve">Mbps</t>
  </si>
  <si>
    <t xml:space="preserve">Week 1 Business Requirements: about 200 Mbps symmetric fibre</t>
  </si>
  <si>
    <t xml:space="preserve">Size 1</t>
  </si>
  <si>
    <t xml:space="preserve">Real-world link efficiency</t>
  </si>
  <si>
    <t xml:space="preserve">%</t>
  </si>
  <si>
    <t xml:space="preserve">Assumption: protocol overhead and other traffic</t>
  </si>
  <si>
    <t xml:space="preserve">Size 2</t>
  </si>
  <si>
    <t xml:space="preserve">Local restore speed (USB drive and NAS)</t>
  </si>
  <si>
    <t xml:space="preserve">MB/s</t>
  </si>
  <si>
    <t xml:space="preserve">Assumption for a USB 3 hard drive; measure in the lab</t>
  </si>
  <si>
    <t xml:space="preserve">Size 3</t>
  </si>
  <si>
    <t xml:space="preserve">Average daily data change</t>
  </si>
  <si>
    <t xml:space="preserve">Assumption for office files; measure from backup logs</t>
  </si>
  <si>
    <t xml:space="preserve">Size 4</t>
  </si>
  <si>
    <t xml:space="preserve">Annual data growth</t>
  </si>
  <si>
    <t xml:space="preserve">Assumption for a growing start-up</t>
  </si>
  <si>
    <t xml:space="preserve">Size 5</t>
  </si>
  <si>
    <t xml:space="preserve">Cloud retention multiplier</t>
  </si>
  <si>
    <t xml:space="preserve">x</t>
  </si>
  <si>
    <t xml:space="preserve">Assumption: versions, weekly, monthly and year-end archives on top of one full copy</t>
  </si>
  <si>
    <t xml:space="preserve">Size 6</t>
  </si>
  <si>
    <t xml:space="preserve">Local drive retention multiplier</t>
  </si>
  <si>
    <t xml:space="preserve">Assumption: shorter retention than the cloud</t>
  </si>
  <si>
    <t xml:space="preserve">Microsoft 365 users</t>
  </si>
  <si>
    <t xml:space="preserve">users</t>
  </si>
  <si>
    <t xml:space="preserve">Business Requirements: 25 employees</t>
  </si>
  <si>
    <t xml:space="preserve">Microsoft 365 data per user</t>
  </si>
  <si>
    <t xml:space="preserve">GB</t>
  </si>
  <si>
    <t xml:space="preserve">Assumption: mailbox + OneDrive + SharePoint share; measure in the admin centre</t>
  </si>
  <si>
    <t xml:space="preserve">NAS usable capacity</t>
  </si>
  <si>
    <t xml:space="preserve">Brief: 8TB usable (2 x 8TB in RAID 1)</t>
  </si>
  <si>
    <t xml:space="preserve">Safe fill limit</t>
  </si>
  <si>
    <t xml:space="preserve">Shared Folder Structure: add drives before storage passes 70%</t>
  </si>
  <si>
    <t xml:space="preserve">Backup scan and verify overhead per job</t>
  </si>
  <si>
    <t xml:space="preserve">hours</t>
  </si>
  <si>
    <t xml:space="preserve">Assumption</t>
  </si>
  <si>
    <t xml:space="preserve">Cloud storage price</t>
  </si>
  <si>
    <t xml:space="preserve">USD/TB/month</t>
  </si>
  <si>
    <t xml:space="preserve">Third-party listings show USD 6 to 6.95: confirm on the provider's pricing page</t>
  </si>
  <si>
    <t xml:space="preserve">Exchange rate</t>
  </si>
  <si>
    <t xml:space="preserve">ZAR per USD</t>
  </si>
  <si>
    <t xml:space="preserve">Planning placeholder only: replace with the current rate</t>
  </si>
  <si>
    <t xml:space="preserve">Priority data share</t>
  </si>
  <si>
    <t xml:space="preserve">% of data</t>
  </si>
  <si>
    <t xml:space="preserve">Assumption: Finance, HR, Management and active Sales/Development projects</t>
  </si>
  <si>
    <t xml:space="preserve">Replacement NAS set-up time</t>
  </si>
  <si>
    <t xml:space="preserve">Assumption: install DSM, create volume, restore groups and permissions (excludes delivery)</t>
  </si>
  <si>
    <t xml:space="preserve">Interim access set-up time</t>
  </si>
  <si>
    <t xml:space="preserve">Assumption: prepare a temporary IT workstation share</t>
  </si>
  <si>
    <t xml:space="preserve">Local backup window (20:00 to 23:00)</t>
  </si>
  <si>
    <t xml:space="preserve">Backup Schedule</t>
  </si>
  <si>
    <t xml:space="preserve">Cloud backup window (23:00 to 06:00)</t>
  </si>
  <si>
    <t xml:space="preserve">B. Data by shared folder (from the Shared Folder Structure quotas)</t>
  </si>
  <si>
    <t xml:space="preserve">Folder</t>
  </si>
  <si>
    <t xml:space="preserve">Quota (GB)</t>
  </si>
  <si>
    <t xml:space="preserve">Estimated data now (GB)</t>
  </si>
  <si>
    <t xml:space="preserve">% of quota used</t>
  </si>
  <si>
    <t xml:space="preserve">In 12 months (GB)</t>
  </si>
  <si>
    <t xml:space="preserve">In 36 months (GB)</t>
  </si>
  <si>
    <t xml:space="preserve">12-month check</t>
  </si>
  <si>
    <t xml:space="preserve">Public</t>
  </si>
  <si>
    <t xml:space="preserve">Finance</t>
  </si>
  <si>
    <t xml:space="preserve">HR</t>
  </si>
  <si>
    <t xml:space="preserve">Sales</t>
  </si>
  <si>
    <t xml:space="preserve">Development</t>
  </si>
  <si>
    <t xml:space="preserve">Management</t>
  </si>
  <si>
    <t xml:space="preserve">Total</t>
  </si>
  <si>
    <t xml:space="preserve">C. Capacity, backup targets and cloud cost</t>
  </si>
  <si>
    <t xml:space="preserve">Measure</t>
  </si>
  <si>
    <t xml:space="preserve">Now</t>
  </si>
  <si>
    <t xml:space="preserve">In 12 months</t>
  </si>
  <si>
    <t xml:space="preserve">In 36 months</t>
  </si>
  <si>
    <t xml:space="preserve">Note</t>
  </si>
  <si>
    <t xml:space="preserve">File data on the NAS (GB)</t>
  </si>
  <si>
    <t xml:space="preserve">From table B</t>
  </si>
  <si>
    <t xml:space="preserve">Microsoft 365 backup held on the NAS (GB)</t>
  </si>
  <si>
    <t xml:space="preserve">Active Backup for Microsoft 365 stores its copy on the NAS</t>
  </si>
  <si>
    <t xml:space="preserve">Total data to protect (GB)</t>
  </si>
  <si>
    <t xml:space="preserve">Files + Microsoft 365 backup</t>
  </si>
  <si>
    <t xml:space="preserve">NAS safe limit (GB)</t>
  </si>
  <si>
    <t xml:space="preserve">Capacity x safe fill limit</t>
  </si>
  <si>
    <t xml:space="preserve">NAS headroom (GB)</t>
  </si>
  <si>
    <t xml:space="preserve">Safe limit minus data</t>
  </si>
  <si>
    <t xml:space="preserve">NAS capacity check</t>
  </si>
  <si>
    <t xml:space="preserve">EXPAND means add drives (two bays are free)</t>
  </si>
  <si>
    <t xml:space="preserve">Local backup space needed (GB)</t>
  </si>
  <si>
    <t xml:space="preserve">Data x local retention multiplier</t>
  </si>
  <si>
    <t xml:space="preserve">Recommended external drive (TB)</t>
  </si>
  <si>
    <t xml:space="preserve">Smallest standard size with 25% spare room</t>
  </si>
  <si>
    <t xml:space="preserve">Cloud storage needed (GB)</t>
  </si>
  <si>
    <t xml:space="preserve">Data x cloud retention multiplier</t>
  </si>
  <si>
    <t xml:space="preserve">Cloud storage needed (TB)</t>
  </si>
  <si>
    <t xml:space="preserve">Cloud cost per month (USD)</t>
  </si>
  <si>
    <t xml:space="preserve">Storage only; downloads are normally free up to 3x stored data each month, then USD 0.01/GB (verify with provider)</t>
  </si>
  <si>
    <t xml:space="preserve">Cloud cost per month (ZAR)</t>
  </si>
  <si>
    <t xml:space="preserve">At the planning exchange rate above</t>
  </si>
  <si>
    <t xml:space="preserve">Year-1 average cloud storage (TB)</t>
  </si>
  <si>
    <t xml:space="preserve">Average of now and 12 months</t>
  </si>
  <si>
    <t xml:space="preserve">Year-1 cloud cost estimate (ZAR)</t>
  </si>
  <si>
    <t xml:space="preserve">Excludes VAT, the external drive and any supplier fees; get quotes</t>
  </si>
  <si>
    <t xml:space="preserve">D. Transfer times and backup windows</t>
  </si>
  <si>
    <t xml:space="preserve">Result</t>
  </si>
  <si>
    <t xml:space="preserve">Effective cloud speed</t>
  </si>
  <si>
    <t xml:space="preserve">Link speed x efficiency / 8</t>
  </si>
  <si>
    <t xml:space="preserve">Data changed per night</t>
  </si>
  <si>
    <t xml:space="preserve">Total data now x daily change</t>
  </si>
  <si>
    <t xml:space="preserve">Local nightly backup duration</t>
  </si>
  <si>
    <t xml:space="preserve">Change / local speed + overhead</t>
  </si>
  <si>
    <t xml:space="preserve">Cloud nightly backup duration</t>
  </si>
  <si>
    <t xml:space="preserve">Change / cloud speed + overhead</t>
  </si>
  <si>
    <t xml:space="preserve">Initial cloud upload (first copy)</t>
  </si>
  <si>
    <t xml:space="preserve">Total data now / cloud speed</t>
  </si>
  <si>
    <t xml:space="preserve">Nights needed if limited to the cloud window</t>
  </si>
  <si>
    <t xml:space="preserve">nights</t>
  </si>
  <si>
    <t xml:space="preserve">Or run over a weekend, throttled in working hours</t>
  </si>
  <si>
    <t xml:space="preserve">Backup Schedule and Retention</t>
  </si>
  <si>
    <t xml:space="preserve">Daily incremental, weekly full, monthly archive and offsite cloud storage, as required by the brief. Durations for J03 and J04 are formulas from the Sizing and Cost sheet.</t>
  </si>
  <si>
    <t xml:space="preserve">ID</t>
  </si>
  <si>
    <t xml:space="preserve">Job</t>
  </si>
  <si>
    <t xml:space="preserve">What is protected</t>
  </si>
  <si>
    <t xml:space="preserve">Type</t>
  </si>
  <si>
    <t xml:space="preserve">When</t>
  </si>
  <si>
    <t xml:space="preserve">Destination</t>
  </si>
  <si>
    <t xml:space="preserve">Tool</t>
  </si>
  <si>
    <t xml:space="preserve">Retention</t>
  </si>
  <si>
    <t xml:space="preserve">Est. duration (h)</t>
  </si>
  <si>
    <t xml:space="preserve">Fits window?</t>
  </si>
  <si>
    <t xml:space="preserve">Owner</t>
  </si>
  <si>
    <t xml:space="preserve">J01</t>
  </si>
  <si>
    <t xml:space="preserve">Recycle bin</t>
  </si>
  <si>
    <t xml:space="preserve">All shared folders</t>
  </si>
  <si>
    <t xml:space="preserve">Safety net</t>
  </si>
  <si>
    <t xml:space="preserve">Always on</t>
  </si>
  <si>
    <t xml:space="preserve">NAS (each shared folder)</t>
  </si>
  <si>
    <t xml:space="preserve">DSM</t>
  </si>
  <si>
    <t xml:space="preserve">Emptied after 30 days</t>
  </si>
  <si>
    <t xml:space="preserve">IT support</t>
  </si>
  <si>
    <t xml:space="preserve">J02</t>
  </si>
  <si>
    <t xml:space="preserve">Hourly snapshots</t>
  </si>
  <si>
    <t xml:space="preserve">Point-in-time copy</t>
  </si>
  <si>
    <t xml:space="preserve">Hourly 08:00 to 18:00 Mon to Fri, plus 20:00 daily</t>
  </si>
  <si>
    <t xml:space="preserve">NAS (same volume)</t>
  </si>
  <si>
    <t xml:space="preserve">Snapshot Replication (Btrfs)</t>
  </si>
  <si>
    <t xml:space="preserve">Hourly: 5 working days; daily: 30 days</t>
  </si>
  <si>
    <t xml:space="preserve">J03</t>
  </si>
  <si>
    <t xml:space="preserve">Daily incremental: local</t>
  </si>
  <si>
    <t xml:space="preserve">All folders, Microsoft 365 backup, GitHub mirror and NAS configuration</t>
  </si>
  <si>
    <t xml:space="preserve">Incremental</t>
  </si>
  <si>
    <t xml:space="preserve">Daily 20:00</t>
  </si>
  <si>
    <t xml:space="preserve">External USB drive on the NAS</t>
  </si>
  <si>
    <t xml:space="preserve">Hyper Backup</t>
  </si>
  <si>
    <t xml:space="preserve">Daily: 30 days; weekly: 12 weeks; monthly: 12 months</t>
  </si>
  <si>
    <t xml:space="preserve">J04</t>
  </si>
  <si>
    <t xml:space="preserve">Daily incremental: offsite</t>
  </si>
  <si>
    <t xml:space="preserve">Same as J03</t>
  </si>
  <si>
    <t xml:space="preserve">Daily 23:00</t>
  </si>
  <si>
    <t xml:space="preserve">Cloud storage bucket (encrypted)</t>
  </si>
  <si>
    <t xml:space="preserve">Hyper Backup (client-side AES-256)</t>
  </si>
  <si>
    <t xml:space="preserve">Daily: 30 days; weekly: 12 weeks</t>
  </si>
  <si>
    <t xml:space="preserve">J05</t>
  </si>
  <si>
    <t xml:space="preserve">Weekly full restore point and integrity check</t>
  </si>
  <si>
    <t xml:space="preserve">Full (verified)</t>
  </si>
  <si>
    <t xml:space="preserve">Sunday 01:00</t>
  </si>
  <si>
    <t xml:space="preserve">Local drive and cloud (same tasks)</t>
  </si>
  <si>
    <t xml:space="preserve">Hyper Backup version and integrity check</t>
  </si>
  <si>
    <t xml:space="preserve">Weekly points: 12 weeks</t>
  </si>
  <si>
    <t xml:space="preserve">J06</t>
  </si>
  <si>
    <t xml:space="preserve">Monthly archive</t>
  </si>
  <si>
    <t xml:space="preserve">All folders</t>
  </si>
  <si>
    <t xml:space="preserve">Archive</t>
  </si>
  <si>
    <t xml:space="preserve">1st of the month 02:00</t>
  </si>
  <si>
    <t xml:space="preserve">Cloud archive bucket</t>
  </si>
  <si>
    <t xml:space="preserve">Hyper Backup (separate task)</t>
  </si>
  <si>
    <t xml:space="preserve">12 months</t>
  </si>
  <si>
    <t xml:space="preserve">J07</t>
  </si>
  <si>
    <t xml:space="preserve">Year-end archive</t>
  </si>
  <si>
    <t xml:space="preserve">Finance, HR and Management only</t>
  </si>
  <si>
    <t xml:space="preserve">First run of January</t>
  </si>
  <si>
    <t xml:space="preserve">7 years</t>
  </si>
  <si>
    <t xml:space="preserve">IT support and data owners</t>
  </si>
  <si>
    <t xml:space="preserve">J08</t>
  </si>
  <si>
    <t xml:space="preserve">Microsoft 365 backup</t>
  </si>
  <si>
    <t xml:space="preserve">Exchange, OneDrive, SharePoint, Teams</t>
  </si>
  <si>
    <t xml:space="preserve">Daily 19:00</t>
  </si>
  <si>
    <t xml:space="preserve">NAS</t>
  </si>
  <si>
    <t xml:space="preserve">Active Backup for Microsoft 365 (free)</t>
  </si>
  <si>
    <t xml:space="preserve">J09</t>
  </si>
  <si>
    <t xml:space="preserve">GitHub repository mirror</t>
  </si>
  <si>
    <t xml:space="preserve">All company repositories</t>
  </si>
  <si>
    <t xml:space="preserve">Mirror</t>
  </si>
  <si>
    <t xml:space="preserve">Daily 19:30</t>
  </si>
  <si>
    <t xml:space="preserve">NAS: Development/Projects/GitHub-Mirror</t>
  </si>
  <si>
    <t xml:space="preserve">Scheduled git mirror script</t>
  </si>
  <si>
    <t xml:space="preserve">Latest mirror (history is in the repositories)</t>
  </si>
  <si>
    <t xml:space="preserve">Development lead</t>
  </si>
  <si>
    <t xml:space="preserve">J10</t>
  </si>
  <si>
    <t xml:space="preserve">Network configuration export</t>
  </si>
  <si>
    <t xml:space="preserve">Firewall, switch and access points</t>
  </si>
  <si>
    <t xml:space="preserve">Configuration</t>
  </si>
  <si>
    <t xml:space="preserve">Monthly and after every change</t>
  </si>
  <si>
    <t xml:space="preserve">NAS: Management/IT-and-Licences</t>
  </si>
  <si>
    <t xml:space="preserve">Manual export from each device</t>
  </si>
  <si>
    <t xml:space="preserve">Last 12 exports</t>
  </si>
  <si>
    <t xml:space="preserve">J11</t>
  </si>
  <si>
    <t xml:space="preserve">SaaS data export</t>
  </si>
  <si>
    <t xml:space="preserve">Accounting, payroll, HR system, CRM</t>
  </si>
  <si>
    <t xml:space="preserve">Export</t>
  </si>
  <si>
    <t xml:space="preserve">Monthly (payroll: after each run)</t>
  </si>
  <si>
    <t xml:space="preserve">NAS: owner's folder (Finance, HR, Sales)</t>
  </si>
  <si>
    <t xml:space="preserve">Manual export by the data owner</t>
  </si>
  <si>
    <t xml:space="preserve">Data owners</t>
  </si>
  <si>
    <t xml:space="preserve">J12</t>
  </si>
  <si>
    <t xml:space="preserve">Device rebuild kit</t>
  </si>
  <si>
    <t xml:space="preserve">Standard build settings, Intune profiles, Ubuntu build script</t>
  </si>
  <si>
    <t xml:space="preserve">Documentation</t>
  </si>
  <si>
    <t xml:space="preserve">After every change; reviewed quarterly</t>
  </si>
  <si>
    <t xml:space="preserve">Manual</t>
  </si>
  <si>
    <t xml:space="preserve">Current and previous versions</t>
  </si>
  <si>
    <t xml:space="preserve">J13</t>
  </si>
  <si>
    <t xml:space="preserve">Backup health check</t>
  </si>
  <si>
    <t xml:space="preserve">All backup jobs</t>
  </si>
  <si>
    <t xml:space="preserve">Monitoring</t>
  </si>
  <si>
    <t xml:space="preserve">Daily 08:30 (5 minutes); weekly report on Monday</t>
  </si>
  <si>
    <t xml:space="preserve">-</t>
  </si>
  <si>
    <t xml:space="preserve">Hyper Backup notifications and logs</t>
  </si>
  <si>
    <t xml:space="preserve">J14</t>
  </si>
  <si>
    <t xml:space="preserve">Restore test</t>
  </si>
  <si>
    <t xml:space="preserve">A sample from every folder and Microsoft 365</t>
  </si>
  <si>
    <t xml:space="preserve">Verification</t>
  </si>
  <si>
    <t xml:space="preserve">Quarterly</t>
  </si>
  <si>
    <t xml:space="preserve">IT support with the data owner</t>
  </si>
  <si>
    <t xml:space="preserve">Results kept 3 years</t>
  </si>
  <si>
    <t xml:space="preserve">J15</t>
  </si>
  <si>
    <t xml:space="preserve">Disaster recovery exercise</t>
  </si>
  <si>
    <t xml:space="preserve">NAS restore to a test target and a scenario walk-through</t>
  </si>
  <si>
    <t xml:space="preserve">Once a year</t>
  </si>
  <si>
    <t xml:space="preserve">IT support and Executive sponsor</t>
  </si>
  <si>
    <t xml:space="preserve">Report kept 3 years</t>
  </si>
  <si>
    <t xml:space="preserve">Typical day: hourly snapshots 08:00 to 18:00 | 19:00 Microsoft 365 | 19:30 GitHub mirror | 20:00 local backup (includes the two before it) | 23:00 offsite backup. Sunday 01:00 weekly verified restore point and integrity check. 1st of the month 02:00 archive.</t>
  </si>
  <si>
    <t xml:space="preserve">Weekly full: Hyper Backup keeps each version as a complete restore point while storing only changed data. The Sunday version is the weekly full restore point and is integrity-checked. A literal full copy each week would waste bandwidth: see the Plan, section 4.2.</t>
  </si>
  <si>
    <t xml:space="preserve">Recovery Objectives (RTO and RPO)</t>
  </si>
  <si>
    <t xml:space="preserve">RTO = how long the business can be without it. RPO = how much recent data it can afford to lose. Targets need Executive Management approval.</t>
  </si>
  <si>
    <t xml:space="preserve">1. Priority tiers</t>
  </si>
  <si>
    <t xml:space="preserve">Tier</t>
  </si>
  <si>
    <t xml:space="preserve">Meaning</t>
  </si>
  <si>
    <t xml:space="preserve">Target RTO</t>
  </si>
  <si>
    <t xml:space="preserve">Examples</t>
  </si>
  <si>
    <t xml:space="preserve">Tier 1: Critical</t>
  </si>
  <si>
    <t xml:space="preserve">Work stops without it</t>
  </si>
  <si>
    <t xml:space="preserve">4 hours</t>
  </si>
  <si>
    <t xml:space="preserve">Internet and network core; Microsoft 365 email and sign-in; critical NAS folders (Finance, HR, Management and active Sales and Development projects)</t>
  </si>
  <si>
    <t xml:space="preserve">Tier 2: Important</t>
  </si>
  <si>
    <t xml:space="preserve">Work continues slowly, or a deadline is at risk</t>
  </si>
  <si>
    <t xml:space="preserve">2 business days</t>
  </si>
  <si>
    <t xml:space="preserve">All other NAS data; accounting, payroll, HR and CRM systems; GitHub; NAS and network configuration</t>
  </si>
  <si>
    <t xml:space="preserve">Tier 3: Normal</t>
  </si>
  <si>
    <t xml:space="preserve">Inconvenient, but the business carries on</t>
  </si>
  <si>
    <t xml:space="preserve">5 business days</t>
  </si>
  <si>
    <t xml:space="preserve">Individual PCs and laptops (rebuilt from the standard build), printers, archives and test data</t>
  </si>
  <si>
    <t xml:space="preserve">2. Objectives by system</t>
  </si>
  <si>
    <t xml:space="preserve">System</t>
  </si>
  <si>
    <t xml:space="preserve">RPO</t>
  </si>
  <si>
    <t xml:space="preserve">RTO</t>
  </si>
  <si>
    <t xml:space="preserve">Protected by</t>
  </si>
  <si>
    <t xml:space="preserve">Internet, firewall, switch and access points</t>
  </si>
  <si>
    <t xml:space="preserve">Tier 1</t>
  </si>
  <si>
    <t xml:space="preserve">Last configuration export (monthly and after every change)</t>
  </si>
  <si>
    <t xml:space="preserve">4 hours for an ISP fault (LTE/5G failover); 1 business day if hardware must be replaced</t>
  </si>
  <si>
    <t xml:space="preserve">LTE/5G failover, configuration exports (J10), supplier replacement, UPS</t>
  </si>
  <si>
    <t xml:space="preserve">Microsoft 365: email, calendar, Teams, OneDrive, SharePoint</t>
  </si>
  <si>
    <t xml:space="preserve">24 hours (nightly backup)</t>
  </si>
  <si>
    <t xml:space="preserve">4 hours to restore deleted items; service outages follow Microsoft's own recovery</t>
  </si>
  <si>
    <t xml:space="preserve">Microsoft's own retention plus Active Backup for Microsoft 365 on the NAS (J08)</t>
  </si>
  <si>
    <t xml:space="preserve">NAS shares: critical folders</t>
  </si>
  <si>
    <t xml:space="preserve">1 hour for deleted or changed files (hourly snapshots); 24 hours if the NAS is lost</t>
  </si>
  <si>
    <t xml:space="preserve">1 hour for a single file; 4 hours for interim access after a NAS failure</t>
  </si>
  <si>
    <t xml:space="preserve">Recycle bin and snapshots (J01, J02), local drive (J03), cloud (J04)</t>
  </si>
  <si>
    <t xml:space="preserve">NAS shares: all other data</t>
  </si>
  <si>
    <t xml:space="preserve">Tier 2</t>
  </si>
  <si>
    <t xml:space="preserve">24 hours</t>
  </si>
  <si>
    <t xml:space="preserve">2 business days (replacement NAS delivered the next business day, then restore)</t>
  </si>
  <si>
    <t xml:space="preserve">J03 to J07</t>
  </si>
  <si>
    <t xml:space="preserve">Accounting, payroll, HR system and CRM (SaaS)</t>
  </si>
  <si>
    <t xml:space="preserve">Vendor holds the live data; our export is up to 1 month old (payroll: after each run)</t>
  </si>
  <si>
    <t xml:space="preserve">1 business day to regain access; longer if an account must be rebuilt from an export</t>
  </si>
  <si>
    <t xml:space="preserve">Vendor resilience plus monthly exports (J11)</t>
  </si>
  <si>
    <t xml:space="preserve">GitHub source code</t>
  </si>
  <si>
    <t xml:space="preserve">24 hours (nightly mirror); developers' local copies are often newer</t>
  </si>
  <si>
    <t xml:space="preserve">1 business day</t>
  </si>
  <si>
    <t xml:space="preserve">Nightly mirror to the NAS (J09) and local clones</t>
  </si>
  <si>
    <t xml:space="preserve">Workstations and laptops</t>
  </si>
  <si>
    <t xml:space="preserve">Tier 3</t>
  </si>
  <si>
    <t xml:space="preserve">Not applicable: no unique data is kept on devices</t>
  </si>
  <si>
    <t xml:space="preserve">1 business day per device (spare device, or rebuild in about 2 to 3 hours)</t>
  </si>
  <si>
    <t xml:space="preserve">Standard builds, Autopilot and Intune, OneDrive folder redirection on laptops, Ubuntu build script</t>
  </si>
  <si>
    <t xml:space="preserve">Printers</t>
  </si>
  <si>
    <t xml:space="preserve">Not applicable</t>
  </si>
  <si>
    <t xml:space="preserve">3 business days</t>
  </si>
  <si>
    <t xml:space="preserve">DHCP reservations, documented settings, supplier replacement</t>
  </si>
  <si>
    <t xml:space="preserve">Archives and test data</t>
  </si>
  <si>
    <t xml:space="preserve">1 month</t>
  </si>
  <si>
    <t xml:space="preserve">Monthly and year-end archives (J06, J07)</t>
  </si>
  <si>
    <t xml:space="preserve">3. Objectives by disaster scenario</t>
  </si>
  <si>
    <t xml:space="preserve">Scenario</t>
  </si>
  <si>
    <t xml:space="preserve">Recovery method</t>
  </si>
  <si>
    <t xml:space="preserve">Runbook</t>
  </si>
  <si>
    <t xml:space="preserve">S1</t>
  </si>
  <si>
    <t xml:space="preserve">Accidental deletion or overwrite</t>
  </si>
  <si>
    <t xml:space="preserve">1 hour</t>
  </si>
  <si>
    <t xml:space="preserve">Recycle bin, then snapshot, then a backup version</t>
  </si>
  <si>
    <t xml:space="preserve">R1</t>
  </si>
  <si>
    <t xml:space="preserve">S2</t>
  </si>
  <si>
    <t xml:space="preserve">One NAS disk fails</t>
  </si>
  <si>
    <t xml:space="preserve">0 (no data lost)</t>
  </si>
  <si>
    <t xml:space="preserve">0 (RAID 1 keeps the NAS running)</t>
  </si>
  <si>
    <t xml:space="preserve">Replace the disk within 2 business days; run a backup straight away</t>
  </si>
  <si>
    <t xml:space="preserve">R2</t>
  </si>
  <si>
    <t xml:space="preserve">S3</t>
  </si>
  <si>
    <t xml:space="preserve">NAS unusable (controller, power supply, corrupt volume)</t>
  </si>
  <si>
    <t xml:space="preserve">4 hours for interim access; 2 business days for full service</t>
  </si>
  <si>
    <t xml:space="preserve">Restore priority folders from the local drive to a temporary share, then rebuild on a replacement NAS</t>
  </si>
  <si>
    <t xml:space="preserve">R3</t>
  </si>
  <si>
    <t xml:space="preserve">S4</t>
  </si>
  <si>
    <t xml:space="preserve">Ransomware or malicious deletion</t>
  </si>
  <si>
    <t xml:space="preserve">1 business day for critical folders; 3 business days for everything</t>
  </si>
  <si>
    <t xml:space="preserve">Isolate, confirm clean, restore from a version made before the infection (local, else cloud)</t>
  </si>
  <si>
    <t xml:space="preserve">R4</t>
  </si>
  <si>
    <t xml:space="preserve">S5</t>
  </si>
  <si>
    <t xml:space="preserve">PC or laptop lost, stolen or failed</t>
  </si>
  <si>
    <t xml:space="preserve">0 for company data (none held locally)</t>
  </si>
  <si>
    <t xml:space="preserve">Spare or rebuild; remote wipe; revoke sessions and reset passwords</t>
  </si>
  <si>
    <t xml:space="preserve">R5</t>
  </si>
  <si>
    <t xml:space="preserve">S6</t>
  </si>
  <si>
    <t xml:space="preserve">Internet outage</t>
  </si>
  <si>
    <t xml:space="preserve">15 minutes with LTE/5G failover; otherwise the ISP's repair time</t>
  </si>
  <si>
    <t xml:space="preserve">Automatic failover; log the ISP fault</t>
  </si>
  <si>
    <t xml:space="preserve">R6</t>
  </si>
  <si>
    <t xml:space="preserve">S7</t>
  </si>
  <si>
    <t xml:space="preserve">Firewall, switch or access point fails</t>
  </si>
  <si>
    <t xml:space="preserve">Last configuration export</t>
  </si>
  <si>
    <t xml:space="preserve">Replacement unit; restore configuration; verify VLANs</t>
  </si>
  <si>
    <t xml:space="preserve">R7</t>
  </si>
  <si>
    <t xml:space="preserve">S8</t>
  </si>
  <si>
    <t xml:space="preserve">Site disaster (fire, flood, theft, building closed)</t>
  </si>
  <si>
    <t xml:space="preserve">1 business day to work from anywhere on cloud services; 5 business days for file shares; 10 business days for the full office</t>
  </si>
  <si>
    <t xml:space="preserve">Cloud copy, replacement NAS, temporary premises</t>
  </si>
  <si>
    <t xml:space="preserve">R8</t>
  </si>
  <si>
    <t xml:space="preserve">S9</t>
  </si>
  <si>
    <t xml:space="preserve">Cloud or SaaS outage, or account compromise</t>
  </si>
  <si>
    <t xml:space="preserve">Vendor-dependent; last export</t>
  </si>
  <si>
    <t xml:space="preserve">Vendor-dependent; 1 business day to restore access</t>
  </si>
  <si>
    <t xml:space="preserve">Vendor status page, MFA reset, restore from export, follow the Incident Response Plan</t>
  </si>
  <si>
    <t xml:space="preserve">R9</t>
  </si>
  <si>
    <t xml:space="preserve">S10</t>
  </si>
  <si>
    <t xml:space="preserve">Power outage</t>
  </si>
  <si>
    <t xml:space="preserve">0</t>
  </si>
  <si>
    <t xml:space="preserve">Power return plus 15 minutes</t>
  </si>
  <si>
    <t xml:space="preserve">UPS carries the network and NAS briefly, then a safe shutdown</t>
  </si>
  <si>
    <t xml:space="preserve">4. Can we meet the targets? Restore-time estimator (all values are formulas)</t>
  </si>
  <si>
    <t xml:space="preserve">Restore case</t>
  </si>
  <si>
    <t xml:space="preserve">Data to restore (GB)</t>
  </si>
  <si>
    <t xml:space="preserve">Source</t>
  </si>
  <si>
    <t xml:space="preserve">Speed (MB/s)</t>
  </si>
  <si>
    <t xml:space="preserve">Extra time (h)</t>
  </si>
  <si>
    <t xml:space="preserve">Estimated time (h)</t>
  </si>
  <si>
    <t xml:space="preserve">Target (h)</t>
  </si>
  <si>
    <t xml:space="preserve">Interim access to priority data from the local drive (now)</t>
  </si>
  <si>
    <t xml:space="preserve">Local drive</t>
  </si>
  <si>
    <t xml:space="preserve">Interim access to priority data from the local drive (12m)</t>
  </si>
  <si>
    <t xml:space="preserve">Full restore onto a replacement NAS from the local drive (now)</t>
  </si>
  <si>
    <t xml:space="preserve">Full restore onto a replacement NAS from the local drive (12m)</t>
  </si>
  <si>
    <t xml:space="preserve">Priority data onto a replacement NAS from the cloud (now)</t>
  </si>
  <si>
    <t xml:space="preserve">Cloud</t>
  </si>
  <si>
    <t xml:space="preserve">Priority data onto a replacement NAS from the cloud (12m)</t>
  </si>
  <si>
    <t xml:space="preserve">Full restore onto a replacement NAS from the cloud (now)</t>
  </si>
  <si>
    <t xml:space="preserve">Full restore onto a replacement NAS from the cloud (12m)</t>
  </si>
  <si>
    <t xml:space="preserve">Targets are elapsed hours. Business days are converted at 24 hours a day because restores can run overnight; delivery of a replacement NAS (assumed next business day) is added on top and is not in the estimates.</t>
  </si>
  <si>
    <t xml:space="preserve">Reading the results: a full cloud restore takes longer than the Tier 1 target, so critical data must come from the local drive (interim access) or be restored first (priority restore). This is why the plan keeps a local copy as well as the cloud copy.</t>
  </si>
  <si>
    <t xml:space="preserve">Restore Test Log</t>
  </si>
  <si>
    <t xml:space="preserve">Fill in during each quarterly test. Sources rotate so the cloud copy is proven at least twice a year. Result has a Pass/Fail drop-down.</t>
  </si>
  <si>
    <t xml:space="preserve">Test ID</t>
  </si>
  <si>
    <t xml:space="preserve">Quarter</t>
  </si>
  <si>
    <t xml:space="preserve">Test type</t>
  </si>
  <si>
    <t xml:space="preserve">Folder or system</t>
  </si>
  <si>
    <t xml:space="preserve">Restore from</t>
  </si>
  <si>
    <t xml:space="preserve">Item restored</t>
  </si>
  <si>
    <t xml:space="preserve">Date</t>
  </si>
  <si>
    <t xml:space="preserve">Time taken (min)</t>
  </si>
  <si>
    <t xml:space="preserve">Issues and follow-up</t>
  </si>
  <si>
    <t xml:space="preserve">Tester</t>
  </si>
  <si>
    <t xml:space="preserve">Data owner sign-off</t>
  </si>
  <si>
    <t xml:space="preserve">RT-01</t>
  </si>
  <si>
    <t xml:space="preserve">Q1</t>
  </si>
  <si>
    <t xml:space="preserve">Folder restore</t>
  </si>
  <si>
    <t xml:space="preserve">/Company/Public</t>
  </si>
  <si>
    <t xml:space="preserve">RT-02</t>
  </si>
  <si>
    <t xml:space="preserve">/Company/Finance</t>
  </si>
  <si>
    <t xml:space="preserve">RT-03</t>
  </si>
  <si>
    <t xml:space="preserve">/Company/HR</t>
  </si>
  <si>
    <t xml:space="preserve">RT-04</t>
  </si>
  <si>
    <t xml:space="preserve">/Company/Sales</t>
  </si>
  <si>
    <t xml:space="preserve">RT-05</t>
  </si>
  <si>
    <t xml:space="preserve">/Company/Development</t>
  </si>
  <si>
    <t xml:space="preserve">RT-06</t>
  </si>
  <si>
    <t xml:space="preserve">/Company/Management</t>
  </si>
  <si>
    <t xml:space="preserve">RT-07</t>
  </si>
  <si>
    <t xml:space="preserve">Microsoft 365 restore</t>
  </si>
  <si>
    <t xml:space="preserve">One mailbox item and one OneDrive file</t>
  </si>
  <si>
    <t xml:space="preserve">NAS (Active Backup for Microsoft 365)</t>
  </si>
  <si>
    <t xml:space="preserve">RT-08</t>
  </si>
  <si>
    <t xml:space="preserve">Q2</t>
  </si>
  <si>
    <t xml:space="preserve">RT-09</t>
  </si>
  <si>
    <t xml:space="preserve">RT-10</t>
  </si>
  <si>
    <t xml:space="preserve">RT-11</t>
  </si>
  <si>
    <t xml:space="preserve">RT-12</t>
  </si>
  <si>
    <t xml:space="preserve">RT-13</t>
  </si>
  <si>
    <t xml:space="preserve">RT-14</t>
  </si>
  <si>
    <t xml:space="preserve">RT-15</t>
  </si>
  <si>
    <t xml:space="preserve">GitHub restore</t>
  </si>
  <si>
    <t xml:space="preserve">One repository from the mirror</t>
  </si>
  <si>
    <t xml:space="preserve">NAS mirror</t>
  </si>
  <si>
    <t xml:space="preserve">RT-16</t>
  </si>
  <si>
    <t xml:space="preserve">Q3</t>
  </si>
  <si>
    <t xml:space="preserve">RT-17</t>
  </si>
  <si>
    <t xml:space="preserve">RT-18</t>
  </si>
  <si>
    <t xml:space="preserve">RT-19</t>
  </si>
  <si>
    <t xml:space="preserve">RT-20</t>
  </si>
  <si>
    <t xml:space="preserve">RT-21</t>
  </si>
  <si>
    <t xml:space="preserve">RT-22</t>
  </si>
  <si>
    <t xml:space="preserve">RT-23</t>
  </si>
  <si>
    <t xml:space="preserve">Q4</t>
  </si>
  <si>
    <t xml:space="preserve">RT-24</t>
  </si>
  <si>
    <t xml:space="preserve">RT-25</t>
  </si>
  <si>
    <t xml:space="preserve">RT-26</t>
  </si>
  <si>
    <t xml:space="preserve">RT-27</t>
  </si>
  <si>
    <t xml:space="preserve">RT-28</t>
  </si>
  <si>
    <t xml:space="preserve">RT-29</t>
  </si>
  <si>
    <t xml:space="preserve">RT-30</t>
  </si>
  <si>
    <t xml:space="preserve">RT-31</t>
  </si>
  <si>
    <t xml:space="preserve">DR exercise</t>
  </si>
  <si>
    <t xml:space="preserve">NAS restore to a test target and scenario walk-through</t>
  </si>
  <si>
    <t xml:space="preserve">Local drive and cloud</t>
  </si>
  <si>
    <t xml:space="preserve">Tests planned</t>
  </si>
  <si>
    <t xml:space="preserve">Tests passed</t>
  </si>
  <si>
    <t xml:space="preserve">Tests failed</t>
  </si>
  <si>
    <t xml:space="preserve">Pass rate of completed tests</t>
  </si>
  <si>
    <t xml:space="preserve">Notes, Assumptions and Follow-ups</t>
  </si>
  <si>
    <t xml:space="preserve">Items to confirm, and the other documents that must match this plan.</t>
  </si>
  <si>
    <t xml:space="preserve">#</t>
  </si>
  <si>
    <t xml:space="preserve">Detail</t>
  </si>
  <si>
    <t xml:space="preserve">Every size, speed, change rate and price on the Sizing and Cost sheet is a planning estimate. Replace them with measured values after the first month.</t>
  </si>
  <si>
    <t xml:space="preserve">New hardware</t>
  </si>
  <si>
    <t xml:space="preserve">One external USB drive (size from the Sizing sheet) is added as the second backup copy. A second drive that is rotated weekly and kept off-site is an optional extra. Update the Hardware Inventory.</t>
  </si>
  <si>
    <t xml:space="preserve">Software</t>
  </si>
  <si>
    <t xml:space="preserve">Synology Active Backup for Microsoft 365 (a free add-on for the NAS) and Snapshot Replication are added to the NAS software line (SW-24) in the Software Inventory.</t>
  </si>
  <si>
    <t xml:space="preserve">Confirm in DSM</t>
  </si>
  <si>
    <t xml:space="preserve">Whether the Microsoft 365 backup folder can be included in the offsite Hyper Backup task. If not, the Microsoft 365 backup has no offsite copy and the plan must say so.</t>
  </si>
  <si>
    <t xml:space="preserve">That the volume is created as Btrfs (needed for snapshots), and the exact retention-rule options for Hyper Backup.</t>
  </si>
  <si>
    <t xml:space="preserve">Decision</t>
  </si>
  <si>
    <t xml:space="preserve">Cloud provider and region: Backblaze B2 is in the Software Inventory; a South African region (for example an Azure region) may suit POPIA cross-border rules better. Decide and record.</t>
  </si>
  <si>
    <t xml:space="preserve">Executive Management must approve the RTO and RPO targets, and decide whether a spare NAS or a rotated second drive is worth the cost.</t>
  </si>
  <si>
    <t xml:space="preserve">Match: Shared Folder Structure</t>
  </si>
  <si>
    <t xml:space="preserve">Recycle bin, snapshots, quarterly restore tests and the 70% capacity rule are used here. Add a GitHub-Mirror subfolder under Development/Projects.</t>
  </si>
  <si>
    <t xml:space="preserve">Match: Software Deployment Plan</t>
  </si>
  <si>
    <t xml:space="preserve">Add OneDrive folder redirection for laptops. The rule 'take a snapshot before updating the NAS' is already there.</t>
  </si>
  <si>
    <t xml:space="preserve">Match: IP Addressing Plan</t>
  </si>
  <si>
    <t xml:space="preserve">Firewall rule 5 already lets nas01 reach the internet on HTTPS, DNS and NTP for cloud backup.</t>
  </si>
  <si>
    <t xml:space="preserve">Match: Troubleshooting Log</t>
  </si>
  <si>
    <t xml:space="preserve">Tier 1 RTO of 4 hours matches the P1 resolution target.</t>
  </si>
  <si>
    <t xml:space="preserve">Next documents</t>
  </si>
  <si>
    <t xml:space="preserve">Cybersecurity Policy, Risk Assessment and Incident Response Plan should refer to this plan (ransomware and data-loss rows, restore steps, key custody).</t>
  </si>
</sst>
</file>

<file path=xl/styles.xml><?xml version="1.0" encoding="utf-8"?>
<styleSheet xmlns="http://schemas.openxmlformats.org/spreadsheetml/2006/main">
  <numFmts count="7">
    <numFmt numFmtId="164" formatCode="General"/>
    <numFmt numFmtId="165" formatCode="0"/>
    <numFmt numFmtId="166" formatCode="0%"/>
    <numFmt numFmtId="167" formatCode="0.0%"/>
    <numFmt numFmtId="168" formatCode="0.0"/>
    <numFmt numFmtId="169" formatCode="#,##0"/>
    <numFmt numFmtId="170" formatCode="0.00"/>
  </numFmts>
  <fonts count="14">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sz val="10"/>
      <color rgb="FF595959"/>
      <name val="Arial"/>
      <family val="0"/>
      <charset val="1"/>
    </font>
    <font>
      <b val="true"/>
      <sz val="11"/>
      <color rgb="FF1F4E78"/>
      <name val="Arial"/>
      <family val="0"/>
      <charset val="1"/>
    </font>
    <font>
      <b val="true"/>
      <sz val="11"/>
      <color rgb="FFFFFFFF"/>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sz val="10"/>
      <color rgb="FF008000"/>
      <name val="Arial"/>
      <family val="0"/>
      <charset val="1"/>
    </font>
    <font>
      <b val="true"/>
      <sz val="10"/>
      <color rgb="FF008000"/>
      <name val="Arial"/>
      <family val="0"/>
      <charset val="1"/>
    </font>
    <font>
      <i val="true"/>
      <sz val="10"/>
      <color rgb="FF595959"/>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DEBF7"/>
        <bgColor rgb="FFCCFFFF"/>
      </patternFill>
    </fill>
    <fill>
      <patternFill patternType="solid">
        <fgColor rgb="FFFFF9E5"/>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9"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6" fontId="9" fillId="0" borderId="1" xfId="0" applyFont="true" applyBorder="true" applyAlignment="true" applyProtection="false">
      <alignment horizontal="center" vertical="top" textRotation="0" wrapText="true" indent="0" shrinkToFit="false"/>
      <protection locked="true" hidden="false"/>
    </xf>
    <xf numFmtId="167" fontId="9" fillId="0" borderId="1" xfId="0" applyFont="true" applyBorder="true" applyAlignment="true" applyProtection="false">
      <alignment horizontal="center" vertical="top" textRotation="0" wrapText="true" indent="0" shrinkToFit="false"/>
      <protection locked="true" hidden="false"/>
    </xf>
    <xf numFmtId="168" fontId="9" fillId="0" borderId="1" xfId="0" applyFont="true" applyBorder="true" applyAlignment="true" applyProtection="false">
      <alignment horizontal="center" vertical="top" textRotation="0" wrapText="true" indent="0" shrinkToFit="false"/>
      <protection locked="true" hidden="false"/>
    </xf>
    <xf numFmtId="169" fontId="9" fillId="0" borderId="1" xfId="0" applyFont="true" applyBorder="true" applyAlignment="true" applyProtection="false">
      <alignment horizontal="center" vertical="top" textRotation="0" wrapText="true" indent="0" shrinkToFit="false"/>
      <protection locked="true" hidden="false"/>
    </xf>
    <xf numFmtId="170" fontId="9" fillId="0" borderId="1" xfId="0" applyFont="true" applyBorder="true" applyAlignment="true" applyProtection="false">
      <alignment horizontal="center" vertical="top" textRotation="0" wrapText="true" indent="0" shrinkToFit="false"/>
      <protection locked="true" hidden="false"/>
    </xf>
    <xf numFmtId="166" fontId="10" fillId="0" borderId="1" xfId="0" applyFont="true" applyBorder="true" applyAlignment="true" applyProtection="false">
      <alignment horizontal="center" vertical="top" textRotation="0" wrapText="true" indent="0" shrinkToFit="false"/>
      <protection locked="true" hidden="false"/>
    </xf>
    <xf numFmtId="169" fontId="10"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9" fontId="8" fillId="3" borderId="1" xfId="0" applyFont="true" applyBorder="true" applyAlignment="true" applyProtection="false">
      <alignment horizontal="center" vertical="top" textRotation="0" wrapText="true" indent="0" shrinkToFit="false"/>
      <protection locked="true" hidden="false"/>
    </xf>
    <xf numFmtId="166" fontId="8" fillId="3" borderId="1" xfId="0" applyFont="true" applyBorder="true" applyAlignment="true" applyProtection="false">
      <alignment horizontal="center" vertical="top" textRotation="0" wrapText="true" indent="0" shrinkToFit="false"/>
      <protection locked="true" hidden="false"/>
    </xf>
    <xf numFmtId="169" fontId="8" fillId="0" borderId="1" xfId="0" applyFont="true" applyBorder="true" applyAlignment="true" applyProtection="false">
      <alignment horizontal="center"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70" fontId="10" fillId="0" borderId="1" xfId="0" applyFont="true" applyBorder="true" applyAlignment="true" applyProtection="false">
      <alignment horizontal="center" vertical="top" textRotation="0" wrapText="true" indent="0" shrinkToFit="false"/>
      <protection locked="true" hidden="false"/>
    </xf>
    <xf numFmtId="168" fontId="10" fillId="0" borderId="1" xfId="0" applyFont="true" applyBorder="true" applyAlignment="true" applyProtection="false">
      <alignment horizontal="center" vertical="top" textRotation="0" wrapText="true" indent="0" shrinkToFit="false"/>
      <protection locked="true" hidden="false"/>
    </xf>
    <xf numFmtId="165" fontId="10" fillId="0" borderId="1" xfId="0" applyFont="true" applyBorder="true" applyAlignment="true" applyProtection="false">
      <alignment horizontal="center" vertical="top" textRotation="0" wrapText="true" indent="0" shrinkToFit="false"/>
      <protection locked="true" hidden="false"/>
    </xf>
    <xf numFmtId="168" fontId="11"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9" fontId="11" fillId="0" borderId="1" xfId="0" applyFont="true" applyBorder="true" applyAlignment="true" applyProtection="false">
      <alignment horizontal="center" vertical="top" textRotation="0" wrapText="true" indent="0" shrinkToFit="false"/>
      <protection locked="true" hidden="false"/>
    </xf>
    <xf numFmtId="168" fontId="8" fillId="0" borderId="1" xfId="0" applyFont="true" applyBorder="true" applyAlignment="true" applyProtection="false">
      <alignment horizontal="center"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5"/>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6"/>
    <col collapsed="false" customWidth="true" hidden="false" outlineLevel="0" max="4" min="4" style="0" width="18"/>
    <col collapsed="false" customWidth="true" hidden="false" outlineLevel="0" max="5" min="5" style="0" width="74"/>
    <col collapsed="false" customWidth="true" hidden="false" outlineLevel="0" max="6" min="6" style="0" width="18"/>
    <col collapsed="false" customWidth="true" hidden="false" outlineLevel="0" max="7" min="7" style="0" width="14"/>
    <col collapsed="false" customWidth="true" hidden="false" outlineLevel="0" max="8" min="8" style="0" width="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7.75" hidden="false" customHeight="true" outlineLevel="0" collapsed="false">
      <c r="A5" s="4" t="s">
        <v>3</v>
      </c>
      <c r="B5" s="4" t="s">
        <v>4</v>
      </c>
      <c r="C5" s="4" t="s">
        <v>5</v>
      </c>
      <c r="D5" s="4" t="s">
        <v>6</v>
      </c>
      <c r="E5" s="4"/>
      <c r="G5" s="5" t="s">
        <v>7</v>
      </c>
      <c r="H5" s="5" t="s">
        <v>8</v>
      </c>
    </row>
    <row r="6" customFormat="false" ht="15" hidden="false" customHeight="true" outlineLevel="0" collapsed="false">
      <c r="A6" s="6" t="s">
        <v>9</v>
      </c>
      <c r="B6" s="7" t="n">
        <v>200</v>
      </c>
      <c r="C6" s="8" t="s">
        <v>10</v>
      </c>
      <c r="D6" s="9" t="s">
        <v>11</v>
      </c>
      <c r="E6" s="9"/>
      <c r="G6" s="8" t="s">
        <v>12</v>
      </c>
      <c r="H6" s="10" t="n">
        <v>2</v>
      </c>
    </row>
    <row r="7" customFormat="false" ht="15" hidden="false" customHeight="true" outlineLevel="0" collapsed="false">
      <c r="A7" s="6" t="s">
        <v>13</v>
      </c>
      <c r="B7" s="11" t="n">
        <v>0.7</v>
      </c>
      <c r="C7" s="8" t="s">
        <v>14</v>
      </c>
      <c r="D7" s="9" t="s">
        <v>15</v>
      </c>
      <c r="E7" s="9"/>
      <c r="G7" s="8" t="s">
        <v>16</v>
      </c>
      <c r="H7" s="10" t="n">
        <v>4</v>
      </c>
    </row>
    <row r="8" customFormat="false" ht="15" hidden="false" customHeight="true" outlineLevel="0" collapsed="false">
      <c r="A8" s="6" t="s">
        <v>17</v>
      </c>
      <c r="B8" s="7" t="n">
        <v>100</v>
      </c>
      <c r="C8" s="8" t="s">
        <v>18</v>
      </c>
      <c r="D8" s="9" t="s">
        <v>19</v>
      </c>
      <c r="E8" s="9"/>
      <c r="G8" s="8" t="s">
        <v>20</v>
      </c>
      <c r="H8" s="10" t="n">
        <v>6</v>
      </c>
    </row>
    <row r="9" customFormat="false" ht="15" hidden="false" customHeight="true" outlineLevel="0" collapsed="false">
      <c r="A9" s="6" t="s">
        <v>21</v>
      </c>
      <c r="B9" s="12" t="n">
        <v>0.02</v>
      </c>
      <c r="C9" s="8" t="s">
        <v>14</v>
      </c>
      <c r="D9" s="9" t="s">
        <v>22</v>
      </c>
      <c r="E9" s="9"/>
      <c r="G9" s="8" t="s">
        <v>23</v>
      </c>
      <c r="H9" s="10" t="n">
        <v>8</v>
      </c>
    </row>
    <row r="10" customFormat="false" ht="15" hidden="false" customHeight="true" outlineLevel="0" collapsed="false">
      <c r="A10" s="6" t="s">
        <v>24</v>
      </c>
      <c r="B10" s="11" t="n">
        <v>0.3</v>
      </c>
      <c r="C10" s="8" t="s">
        <v>14</v>
      </c>
      <c r="D10" s="9" t="s">
        <v>25</v>
      </c>
      <c r="E10" s="9"/>
      <c r="G10" s="8" t="s">
        <v>26</v>
      </c>
      <c r="H10" s="10" t="n">
        <v>12</v>
      </c>
    </row>
    <row r="11" customFormat="false" ht="15" hidden="false" customHeight="true" outlineLevel="0" collapsed="false">
      <c r="A11" s="6" t="s">
        <v>27</v>
      </c>
      <c r="B11" s="13" t="n">
        <v>2</v>
      </c>
      <c r="C11" s="8" t="s">
        <v>28</v>
      </c>
      <c r="D11" s="9" t="s">
        <v>29</v>
      </c>
      <c r="E11" s="9"/>
      <c r="G11" s="8" t="s">
        <v>30</v>
      </c>
      <c r="H11" s="10" t="n">
        <v>16</v>
      </c>
    </row>
    <row r="12" customFormat="false" ht="15" hidden="false" customHeight="true" outlineLevel="0" collapsed="false">
      <c r="A12" s="6" t="s">
        <v>31</v>
      </c>
      <c r="B12" s="13" t="n">
        <v>1.5</v>
      </c>
      <c r="C12" s="8" t="s">
        <v>28</v>
      </c>
      <c r="D12" s="9" t="s">
        <v>32</v>
      </c>
      <c r="E12" s="9"/>
    </row>
    <row r="13" customFormat="false" ht="15" hidden="false" customHeight="true" outlineLevel="0" collapsed="false">
      <c r="A13" s="6" t="s">
        <v>33</v>
      </c>
      <c r="B13" s="7" t="n">
        <v>25</v>
      </c>
      <c r="C13" s="8" t="s">
        <v>34</v>
      </c>
      <c r="D13" s="9" t="s">
        <v>35</v>
      </c>
      <c r="E13" s="9"/>
    </row>
    <row r="14" customFormat="false" ht="15" hidden="false" customHeight="true" outlineLevel="0" collapsed="false">
      <c r="A14" s="6" t="s">
        <v>36</v>
      </c>
      <c r="B14" s="7" t="n">
        <v>20</v>
      </c>
      <c r="C14" s="8" t="s">
        <v>37</v>
      </c>
      <c r="D14" s="9" t="s">
        <v>38</v>
      </c>
      <c r="E14" s="9"/>
    </row>
    <row r="15" customFormat="false" ht="15" hidden="false" customHeight="true" outlineLevel="0" collapsed="false">
      <c r="A15" s="6" t="s">
        <v>39</v>
      </c>
      <c r="B15" s="14" t="n">
        <v>8000</v>
      </c>
      <c r="C15" s="8" t="s">
        <v>37</v>
      </c>
      <c r="D15" s="9" t="s">
        <v>40</v>
      </c>
      <c r="E15" s="9"/>
    </row>
    <row r="16" customFormat="false" ht="15" hidden="false" customHeight="true" outlineLevel="0" collapsed="false">
      <c r="A16" s="6" t="s">
        <v>41</v>
      </c>
      <c r="B16" s="11" t="n">
        <v>0.7</v>
      </c>
      <c r="C16" s="8" t="s">
        <v>14</v>
      </c>
      <c r="D16" s="9" t="s">
        <v>42</v>
      </c>
      <c r="E16" s="9"/>
    </row>
    <row r="17" customFormat="false" ht="15" hidden="false" customHeight="true" outlineLevel="0" collapsed="false">
      <c r="A17" s="6" t="s">
        <v>43</v>
      </c>
      <c r="B17" s="13" t="n">
        <v>0.5</v>
      </c>
      <c r="C17" s="8" t="s">
        <v>44</v>
      </c>
      <c r="D17" s="9" t="s">
        <v>45</v>
      </c>
      <c r="E17" s="9"/>
    </row>
    <row r="18" customFormat="false" ht="15" hidden="false" customHeight="true" outlineLevel="0" collapsed="false">
      <c r="A18" s="6" t="s">
        <v>46</v>
      </c>
      <c r="B18" s="15" t="n">
        <v>6.95</v>
      </c>
      <c r="C18" s="8" t="s">
        <v>47</v>
      </c>
      <c r="D18" s="9" t="s">
        <v>48</v>
      </c>
      <c r="E18" s="9"/>
    </row>
    <row r="19" customFormat="false" ht="15" hidden="false" customHeight="true" outlineLevel="0" collapsed="false">
      <c r="A19" s="6" t="s">
        <v>49</v>
      </c>
      <c r="B19" s="15" t="n">
        <v>18</v>
      </c>
      <c r="C19" s="8" t="s">
        <v>50</v>
      </c>
      <c r="D19" s="9" t="s">
        <v>51</v>
      </c>
      <c r="E19" s="9"/>
    </row>
    <row r="20" customFormat="false" ht="15" hidden="false" customHeight="true" outlineLevel="0" collapsed="false">
      <c r="A20" s="6" t="s">
        <v>52</v>
      </c>
      <c r="B20" s="11" t="n">
        <v>0.3</v>
      </c>
      <c r="C20" s="8" t="s">
        <v>53</v>
      </c>
      <c r="D20" s="9" t="s">
        <v>54</v>
      </c>
      <c r="E20" s="9"/>
    </row>
    <row r="21" customFormat="false" ht="15" hidden="false" customHeight="true" outlineLevel="0" collapsed="false">
      <c r="A21" s="6" t="s">
        <v>55</v>
      </c>
      <c r="B21" s="13" t="n">
        <v>4</v>
      </c>
      <c r="C21" s="8" t="s">
        <v>44</v>
      </c>
      <c r="D21" s="9" t="s">
        <v>56</v>
      </c>
      <c r="E21" s="9"/>
    </row>
    <row r="22" customFormat="false" ht="15" hidden="false" customHeight="true" outlineLevel="0" collapsed="false">
      <c r="A22" s="6" t="s">
        <v>57</v>
      </c>
      <c r="B22" s="13" t="n">
        <v>1</v>
      </c>
      <c r="C22" s="8" t="s">
        <v>44</v>
      </c>
      <c r="D22" s="9" t="s">
        <v>58</v>
      </c>
      <c r="E22" s="9"/>
    </row>
    <row r="23" customFormat="false" ht="15" hidden="false" customHeight="true" outlineLevel="0" collapsed="false">
      <c r="A23" s="6" t="s">
        <v>59</v>
      </c>
      <c r="B23" s="7" t="n">
        <v>3</v>
      </c>
      <c r="C23" s="8" t="s">
        <v>44</v>
      </c>
      <c r="D23" s="9" t="s">
        <v>60</v>
      </c>
      <c r="E23" s="9"/>
    </row>
    <row r="24" customFormat="false" ht="15" hidden="false" customHeight="true" outlineLevel="0" collapsed="false">
      <c r="A24" s="6" t="s">
        <v>61</v>
      </c>
      <c r="B24" s="7" t="n">
        <v>7</v>
      </c>
      <c r="C24" s="8" t="s">
        <v>44</v>
      </c>
      <c r="D24" s="9" t="s">
        <v>60</v>
      </c>
      <c r="E24" s="9"/>
    </row>
    <row r="26" customFormat="false" ht="15" hidden="false" customHeight="false" outlineLevel="0" collapsed="false">
      <c r="A26" s="3" t="s">
        <v>62</v>
      </c>
    </row>
    <row r="27" customFormat="false" ht="39.75" hidden="false" customHeight="true" outlineLevel="0" collapsed="false">
      <c r="A27" s="4" t="s">
        <v>63</v>
      </c>
      <c r="B27" s="4" t="s">
        <v>64</v>
      </c>
      <c r="C27" s="4" t="s">
        <v>65</v>
      </c>
      <c r="D27" s="4" t="s">
        <v>66</v>
      </c>
      <c r="E27" s="4" t="s">
        <v>67</v>
      </c>
      <c r="F27" s="4" t="s">
        <v>68</v>
      </c>
      <c r="G27" s="4" t="s">
        <v>69</v>
      </c>
    </row>
    <row r="28" customFormat="false" ht="15" hidden="false" customHeight="false" outlineLevel="0" collapsed="false">
      <c r="A28" s="6" t="s">
        <v>70</v>
      </c>
      <c r="B28" s="14" t="n">
        <v>100</v>
      </c>
      <c r="C28" s="14" t="n">
        <v>20</v>
      </c>
      <c r="D28" s="16" t="n">
        <f aca="false">C28/B28</f>
        <v>0.2</v>
      </c>
      <c r="E28" s="17" t="n">
        <f aca="false">C28*(1+$B$10)</f>
        <v>26</v>
      </c>
      <c r="F28" s="17" t="n">
        <f aca="false">C28*(1+$B$10)^3</f>
        <v>43.94</v>
      </c>
      <c r="G28" s="18" t="str">
        <f aca="false">IF(E28&lt;=B28,"OK","OVER QUOTA")</f>
        <v>OK</v>
      </c>
    </row>
    <row r="29" customFormat="false" ht="15" hidden="false" customHeight="false" outlineLevel="0" collapsed="false">
      <c r="A29" s="6" t="s">
        <v>71</v>
      </c>
      <c r="B29" s="14" t="n">
        <v>500</v>
      </c>
      <c r="C29" s="14" t="n">
        <v>150</v>
      </c>
      <c r="D29" s="16" t="n">
        <f aca="false">C29/B29</f>
        <v>0.3</v>
      </c>
      <c r="E29" s="17" t="n">
        <f aca="false">C29*(1+$B$10)</f>
        <v>195</v>
      </c>
      <c r="F29" s="17" t="n">
        <f aca="false">C29*(1+$B$10)^3</f>
        <v>329.55</v>
      </c>
      <c r="G29" s="18" t="str">
        <f aca="false">IF(E29&lt;=B29,"OK","OVER QUOTA")</f>
        <v>OK</v>
      </c>
    </row>
    <row r="30" customFormat="false" ht="15" hidden="false" customHeight="false" outlineLevel="0" collapsed="false">
      <c r="A30" s="6" t="s">
        <v>72</v>
      </c>
      <c r="B30" s="14" t="n">
        <v>300</v>
      </c>
      <c r="C30" s="14" t="n">
        <v>80</v>
      </c>
      <c r="D30" s="16" t="n">
        <f aca="false">C30/B30</f>
        <v>0.266666666666667</v>
      </c>
      <c r="E30" s="17" t="n">
        <f aca="false">C30*(1+$B$10)</f>
        <v>104</v>
      </c>
      <c r="F30" s="17" t="n">
        <f aca="false">C30*(1+$B$10)^3</f>
        <v>175.76</v>
      </c>
      <c r="G30" s="18" t="str">
        <f aca="false">IF(E30&lt;=B30,"OK","OVER QUOTA")</f>
        <v>OK</v>
      </c>
    </row>
    <row r="31" customFormat="false" ht="15" hidden="false" customHeight="false" outlineLevel="0" collapsed="false">
      <c r="A31" s="6" t="s">
        <v>73</v>
      </c>
      <c r="B31" s="14" t="n">
        <v>1000</v>
      </c>
      <c r="C31" s="14" t="n">
        <v>400</v>
      </c>
      <c r="D31" s="16" t="n">
        <f aca="false">C31/B31</f>
        <v>0.4</v>
      </c>
      <c r="E31" s="17" t="n">
        <f aca="false">C31*(1+$B$10)</f>
        <v>520</v>
      </c>
      <c r="F31" s="17" t="n">
        <f aca="false">C31*(1+$B$10)^3</f>
        <v>878.8</v>
      </c>
      <c r="G31" s="18" t="str">
        <f aca="false">IF(E31&lt;=B31,"OK","OVER QUOTA")</f>
        <v>OK</v>
      </c>
    </row>
    <row r="32" customFormat="false" ht="15" hidden="false" customHeight="false" outlineLevel="0" collapsed="false">
      <c r="A32" s="6" t="s">
        <v>74</v>
      </c>
      <c r="B32" s="14" t="n">
        <v>2000</v>
      </c>
      <c r="C32" s="14" t="n">
        <v>600</v>
      </c>
      <c r="D32" s="16" t="n">
        <f aca="false">C32/B32</f>
        <v>0.3</v>
      </c>
      <c r="E32" s="17" t="n">
        <f aca="false">C32*(1+$B$10)</f>
        <v>780</v>
      </c>
      <c r="F32" s="17" t="n">
        <f aca="false">C32*(1+$B$10)^3</f>
        <v>1318.2</v>
      </c>
      <c r="G32" s="18" t="str">
        <f aca="false">IF(E32&lt;=B32,"OK","OVER QUOTA")</f>
        <v>OK</v>
      </c>
    </row>
    <row r="33" customFormat="false" ht="15" hidden="false" customHeight="false" outlineLevel="0" collapsed="false">
      <c r="A33" s="6" t="s">
        <v>75</v>
      </c>
      <c r="B33" s="14" t="n">
        <v>200</v>
      </c>
      <c r="C33" s="14" t="n">
        <v>50</v>
      </c>
      <c r="D33" s="16" t="n">
        <f aca="false">C33/B33</f>
        <v>0.25</v>
      </c>
      <c r="E33" s="17" t="n">
        <f aca="false">C33*(1+$B$10)</f>
        <v>65</v>
      </c>
      <c r="F33" s="17" t="n">
        <f aca="false">C33*(1+$B$10)^3</f>
        <v>109.85</v>
      </c>
      <c r="G33" s="18" t="str">
        <f aca="false">IF(E33&lt;=B33,"OK","OVER QUOTA")</f>
        <v>OK</v>
      </c>
    </row>
    <row r="34" customFormat="false" ht="15" hidden="false" customHeight="false" outlineLevel="0" collapsed="false">
      <c r="A34" s="19" t="s">
        <v>76</v>
      </c>
      <c r="B34" s="20" t="n">
        <f aca="false">SUM(B28:B33)</f>
        <v>4100</v>
      </c>
      <c r="C34" s="20" t="n">
        <f aca="false">SUM(C28:C33)</f>
        <v>1300</v>
      </c>
      <c r="D34" s="21" t="n">
        <f aca="false">C34/B34</f>
        <v>0.317073170731707</v>
      </c>
      <c r="E34" s="20" t="n">
        <f aca="false">SUM(E28:E33)</f>
        <v>1690</v>
      </c>
      <c r="F34" s="20" t="n">
        <f aca="false">SUM(F28:F33)</f>
        <v>2856.1</v>
      </c>
      <c r="G34" s="5" t="str">
        <f aca="false">IF(COUNTIF(G28:G33,"OVER QUOTA")=0,"OK","CHECK")</f>
        <v>OK</v>
      </c>
    </row>
    <row r="36" customFormat="false" ht="15" hidden="false" customHeight="false" outlineLevel="0" collapsed="false">
      <c r="A36" s="3" t="s">
        <v>77</v>
      </c>
    </row>
    <row r="37" customFormat="false" ht="27.75" hidden="false" customHeight="true" outlineLevel="0" collapsed="false">
      <c r="A37" s="4" t="s">
        <v>78</v>
      </c>
      <c r="B37" s="4" t="s">
        <v>79</v>
      </c>
      <c r="C37" s="4" t="s">
        <v>80</v>
      </c>
      <c r="D37" s="4" t="s">
        <v>81</v>
      </c>
      <c r="E37" s="4" t="s">
        <v>82</v>
      </c>
    </row>
    <row r="38" customFormat="false" ht="15" hidden="false" customHeight="false" outlineLevel="0" collapsed="false">
      <c r="A38" s="9" t="s">
        <v>83</v>
      </c>
      <c r="B38" s="17" t="n">
        <f aca="false">C34</f>
        <v>1300</v>
      </c>
      <c r="C38" s="17" t="n">
        <f aca="false">E34</f>
        <v>1690</v>
      </c>
      <c r="D38" s="17" t="n">
        <f aca="false">F34</f>
        <v>2856.1</v>
      </c>
      <c r="E38" s="9" t="s">
        <v>84</v>
      </c>
    </row>
    <row r="39" customFormat="false" ht="15" hidden="false" customHeight="false" outlineLevel="0" collapsed="false">
      <c r="A39" s="9" t="s">
        <v>85</v>
      </c>
      <c r="B39" s="17" t="n">
        <f aca="false">$B$13*$B$14*(1+$B$10)^0</f>
        <v>500</v>
      </c>
      <c r="C39" s="17" t="n">
        <f aca="false">$B$13*$B$14*(1+$B$10)^1</f>
        <v>650</v>
      </c>
      <c r="D39" s="17" t="n">
        <f aca="false">$B$13*$B$14*(1+$B$10)^3</f>
        <v>1098.5</v>
      </c>
      <c r="E39" s="9" t="s">
        <v>86</v>
      </c>
    </row>
    <row r="40" customFormat="false" ht="15" hidden="false" customHeight="false" outlineLevel="0" collapsed="false">
      <c r="A40" s="6" t="s">
        <v>87</v>
      </c>
      <c r="B40" s="22" t="n">
        <f aca="false">B38+B39</f>
        <v>1800</v>
      </c>
      <c r="C40" s="22" t="n">
        <f aca="false">C38+C39</f>
        <v>2340</v>
      </c>
      <c r="D40" s="22" t="n">
        <f aca="false">D38+D39</f>
        <v>3954.6</v>
      </c>
      <c r="E40" s="9" t="s">
        <v>88</v>
      </c>
    </row>
    <row r="41" customFormat="false" ht="15" hidden="false" customHeight="false" outlineLevel="0" collapsed="false">
      <c r="A41" s="9" t="s">
        <v>89</v>
      </c>
      <c r="B41" s="17" t="n">
        <f aca="false">$B$15*$B$16</f>
        <v>5600</v>
      </c>
      <c r="C41" s="17" t="n">
        <f aca="false">$B$15*$B$16</f>
        <v>5600</v>
      </c>
      <c r="D41" s="17" t="n">
        <f aca="false">$B$15*$B$16</f>
        <v>5600</v>
      </c>
      <c r="E41" s="9" t="s">
        <v>90</v>
      </c>
    </row>
    <row r="42" customFormat="false" ht="15" hidden="false" customHeight="false" outlineLevel="0" collapsed="false">
      <c r="A42" s="9" t="s">
        <v>91</v>
      </c>
      <c r="B42" s="17" t="n">
        <f aca="false">B41-B40</f>
        <v>3800</v>
      </c>
      <c r="C42" s="17" t="n">
        <f aca="false">C41-C40</f>
        <v>3260</v>
      </c>
      <c r="D42" s="17" t="n">
        <f aca="false">D41-D40</f>
        <v>1645.4</v>
      </c>
      <c r="E42" s="9" t="s">
        <v>92</v>
      </c>
    </row>
    <row r="43" customFormat="false" ht="15" hidden="false" customHeight="false" outlineLevel="0" collapsed="false">
      <c r="A43" s="6" t="s">
        <v>93</v>
      </c>
      <c r="B43" s="18" t="str">
        <f aca="false">IF(B42&gt;=0,"OK","EXPAND")</f>
        <v>OK</v>
      </c>
      <c r="C43" s="18" t="str">
        <f aca="false">IF(C42&gt;=0,"OK","EXPAND")</f>
        <v>OK</v>
      </c>
      <c r="D43" s="18" t="str">
        <f aca="false">IF(D42&gt;=0,"OK","EXPAND")</f>
        <v>OK</v>
      </c>
      <c r="E43" s="9" t="s">
        <v>94</v>
      </c>
    </row>
    <row r="44" customFormat="false" ht="15" hidden="false" customHeight="false" outlineLevel="0" collapsed="false">
      <c r="A44" s="9" t="s">
        <v>95</v>
      </c>
      <c r="B44" s="17" t="n">
        <f aca="false">B40*$B$12</f>
        <v>2700</v>
      </c>
      <c r="C44" s="17" t="n">
        <f aca="false">C40*$B$12</f>
        <v>3510</v>
      </c>
      <c r="D44" s="17" t="n">
        <f aca="false">D40*$B$12</f>
        <v>5931.9</v>
      </c>
      <c r="E44" s="9" t="s">
        <v>96</v>
      </c>
    </row>
    <row r="45" customFormat="false" ht="15" hidden="false" customHeight="false" outlineLevel="0" collapsed="false">
      <c r="A45" s="6" t="s">
        <v>97</v>
      </c>
      <c r="B45" s="23" t="n">
        <f aca="false">IFERROR(INDEX($H$6:$H$11,COUNTIF($H$6:$H$11,"&lt;"&amp;(B44*1.25/1000))+1),"Over 16 TB")</f>
        <v>4</v>
      </c>
      <c r="C45" s="23" t="n">
        <f aca="false">IFERROR(INDEX($H$6:$H$11,COUNTIF($H$6:$H$11,"&lt;"&amp;(C44*1.25/1000))+1),"Over 16 TB")</f>
        <v>6</v>
      </c>
      <c r="D45" s="23" t="n">
        <f aca="false">IFERROR(INDEX($H$6:$H$11,COUNTIF($H$6:$H$11,"&lt;"&amp;(D44*1.25/1000))+1),"Over 16 TB")</f>
        <v>8</v>
      </c>
      <c r="E45" s="9" t="s">
        <v>98</v>
      </c>
    </row>
    <row r="46" customFormat="false" ht="15" hidden="false" customHeight="false" outlineLevel="0" collapsed="false">
      <c r="A46" s="9" t="s">
        <v>99</v>
      </c>
      <c r="B46" s="17" t="n">
        <f aca="false">B40*$B$11</f>
        <v>3600</v>
      </c>
      <c r="C46" s="17" t="n">
        <f aca="false">C40*$B$11</f>
        <v>4680</v>
      </c>
      <c r="D46" s="17" t="n">
        <f aca="false">D40*$B$11</f>
        <v>7909.2</v>
      </c>
      <c r="E46" s="9" t="s">
        <v>100</v>
      </c>
    </row>
    <row r="47" customFormat="false" ht="15" hidden="false" customHeight="false" outlineLevel="0" collapsed="false">
      <c r="A47" s="9" t="s">
        <v>101</v>
      </c>
      <c r="B47" s="24" t="n">
        <f aca="false">B46/1000</f>
        <v>3.6</v>
      </c>
      <c r="C47" s="24" t="n">
        <f aca="false">C46/1000</f>
        <v>4.68</v>
      </c>
      <c r="D47" s="24" t="n">
        <f aca="false">D46/1000</f>
        <v>7.9092</v>
      </c>
      <c r="E47" s="9"/>
    </row>
    <row r="48" customFormat="false" ht="23.85" hidden="false" customHeight="false" outlineLevel="0" collapsed="false">
      <c r="A48" s="9" t="s">
        <v>102</v>
      </c>
      <c r="B48" s="24" t="n">
        <f aca="false">B47*$B$18</f>
        <v>25.02</v>
      </c>
      <c r="C48" s="24" t="n">
        <f aca="false">C47*$B$18</f>
        <v>32.526</v>
      </c>
      <c r="D48" s="24" t="n">
        <f aca="false">D47*$B$18</f>
        <v>54.96894</v>
      </c>
      <c r="E48" s="9" t="s">
        <v>103</v>
      </c>
    </row>
    <row r="49" customFormat="false" ht="15" hidden="false" customHeight="false" outlineLevel="0" collapsed="false">
      <c r="A49" s="6" t="s">
        <v>104</v>
      </c>
      <c r="B49" s="22" t="n">
        <f aca="false">B48*$B$19</f>
        <v>450.36</v>
      </c>
      <c r="C49" s="22" t="n">
        <f aca="false">C48*$B$19</f>
        <v>585.468</v>
      </c>
      <c r="D49" s="22" t="n">
        <f aca="false">D48*$B$19</f>
        <v>989.44092</v>
      </c>
      <c r="E49" s="9" t="s">
        <v>105</v>
      </c>
    </row>
    <row r="50" customFormat="false" ht="15" hidden="false" customHeight="false" outlineLevel="0" collapsed="false">
      <c r="A50" s="9" t="s">
        <v>106</v>
      </c>
      <c r="B50" s="24" t="n">
        <f aca="false">AVERAGE(B47,C47)</f>
        <v>4.14</v>
      </c>
      <c r="C50" s="9"/>
      <c r="D50" s="9"/>
      <c r="E50" s="9" t="s">
        <v>107</v>
      </c>
    </row>
    <row r="51" customFormat="false" ht="15" hidden="false" customHeight="false" outlineLevel="0" collapsed="false">
      <c r="A51" s="6" t="s">
        <v>108</v>
      </c>
      <c r="B51" s="22" t="n">
        <f aca="false">B50*$B$18*$B$19*12</f>
        <v>6214.968</v>
      </c>
      <c r="C51" s="9"/>
      <c r="D51" s="9"/>
      <c r="E51" s="9" t="s">
        <v>109</v>
      </c>
    </row>
    <row r="53" customFormat="false" ht="15" hidden="false" customHeight="false" outlineLevel="0" collapsed="false">
      <c r="A53" s="3" t="s">
        <v>110</v>
      </c>
    </row>
    <row r="54" customFormat="false" ht="27.75" hidden="false" customHeight="true" outlineLevel="0" collapsed="false">
      <c r="A54" s="4" t="s">
        <v>78</v>
      </c>
      <c r="B54" s="4" t="s">
        <v>4</v>
      </c>
      <c r="C54" s="4" t="s">
        <v>5</v>
      </c>
      <c r="D54" s="4" t="s">
        <v>111</v>
      </c>
      <c r="E54" s="4" t="s">
        <v>82</v>
      </c>
    </row>
    <row r="55" customFormat="false" ht="15" hidden="false" customHeight="false" outlineLevel="0" collapsed="false">
      <c r="A55" s="6" t="s">
        <v>112</v>
      </c>
      <c r="B55" s="25" t="n">
        <f aca="false">$B$6*$B$7/8</f>
        <v>17.5</v>
      </c>
      <c r="C55" s="8" t="s">
        <v>18</v>
      </c>
      <c r="D55" s="18"/>
      <c r="E55" s="9" t="s">
        <v>113</v>
      </c>
    </row>
    <row r="56" customFormat="false" ht="15" hidden="false" customHeight="false" outlineLevel="0" collapsed="false">
      <c r="A56" s="6" t="s">
        <v>114</v>
      </c>
      <c r="B56" s="25" t="n">
        <f aca="false">B40*$B$9</f>
        <v>36</v>
      </c>
      <c r="C56" s="8" t="s">
        <v>37</v>
      </c>
      <c r="D56" s="18"/>
      <c r="E56" s="9" t="s">
        <v>115</v>
      </c>
    </row>
    <row r="57" customFormat="false" ht="15" hidden="false" customHeight="false" outlineLevel="0" collapsed="false">
      <c r="A57" s="6" t="s">
        <v>116</v>
      </c>
      <c r="B57" s="25" t="n">
        <f aca="false">B56*1000/$B$8/3600+$B$17</f>
        <v>0.6</v>
      </c>
      <c r="C57" s="8" t="s">
        <v>44</v>
      </c>
      <c r="D57" s="18" t="str">
        <f aca="false">IF(B57&lt;=$B$23,"Fits window","TOO LONG")</f>
        <v>Fits window</v>
      </c>
      <c r="E57" s="9" t="s">
        <v>117</v>
      </c>
    </row>
    <row r="58" customFormat="false" ht="15" hidden="false" customHeight="false" outlineLevel="0" collapsed="false">
      <c r="A58" s="6" t="s">
        <v>118</v>
      </c>
      <c r="B58" s="25" t="n">
        <f aca="false">B56*1000/B55/3600+$B$17</f>
        <v>1.07142857142857</v>
      </c>
      <c r="C58" s="8" t="s">
        <v>44</v>
      </c>
      <c r="D58" s="18" t="str">
        <f aca="false">IF(B58&lt;=$B$24,"Fits window","TOO LONG")</f>
        <v>Fits window</v>
      </c>
      <c r="E58" s="9" t="s">
        <v>119</v>
      </c>
    </row>
    <row r="59" customFormat="false" ht="15" hidden="false" customHeight="false" outlineLevel="0" collapsed="false">
      <c r="A59" s="6" t="s">
        <v>120</v>
      </c>
      <c r="B59" s="25" t="n">
        <f aca="false">B40*1000/B55/3600</f>
        <v>28.5714285714286</v>
      </c>
      <c r="C59" s="8" t="s">
        <v>44</v>
      </c>
      <c r="D59" s="18"/>
      <c r="E59" s="9" t="s">
        <v>121</v>
      </c>
    </row>
    <row r="60" customFormat="false" ht="15" hidden="false" customHeight="false" outlineLevel="0" collapsed="false">
      <c r="A60" s="6" t="s">
        <v>122</v>
      </c>
      <c r="B60" s="26" t="n">
        <f aca="false">ROUNDUP(B59/$B$24,0)</f>
        <v>5</v>
      </c>
      <c r="C60" s="8" t="s">
        <v>123</v>
      </c>
      <c r="D60" s="18"/>
      <c r="E60" s="9" t="s">
        <v>124</v>
      </c>
    </row>
  </sheetData>
  <mergeCells count="20">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s>
  <conditionalFormatting sqref="G28:G34">
    <cfRule type="cellIs" priority="2" operator="notEqual" aboveAverage="0" equalAverage="0" bottom="0" percent="0" rank="0" text="" dxfId="0">
      <formula>"OK"</formula>
    </cfRule>
  </conditionalFormatting>
  <conditionalFormatting sqref="B43:D43">
    <cfRule type="cellIs" priority="3" operator="notEqual" aboveAverage="0" equalAverage="0" bottom="0" percent="0" rank="0" text="" dxfId="0">
      <formula>"OK"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8"/>
    <col collapsed="false" customWidth="true" hidden="false" outlineLevel="0" max="4" min="4" style="0" width="15"/>
    <col collapsed="false" customWidth="true" hidden="false" outlineLevel="0" max="5" min="5" style="0" width="30"/>
    <col collapsed="false" customWidth="true" hidden="false" outlineLevel="0" max="6" min="6" style="0" width="32"/>
    <col collapsed="false" customWidth="true" hidden="false" outlineLevel="0" max="7" min="7" style="0" width="30"/>
    <col collapsed="false" customWidth="true" hidden="false" outlineLevel="0" max="8" min="8" style="0" width="34"/>
    <col collapsed="false" customWidth="true" hidden="false" outlineLevel="0" max="9" min="9" style="0" width="12"/>
    <col collapsed="false" customWidth="true" hidden="false" outlineLevel="0" max="10" min="10" style="0" width="14"/>
    <col collapsed="false" customWidth="true" hidden="false" outlineLevel="0" max="11" min="11" style="0" width="18"/>
  </cols>
  <sheetData>
    <row r="1" customFormat="false" ht="17.35" hidden="false" customHeight="false" outlineLevel="0" collapsed="false">
      <c r="A1" s="1" t="s">
        <v>125</v>
      </c>
    </row>
    <row r="2" customFormat="false" ht="15" hidden="false" customHeight="false" outlineLevel="0" collapsed="false">
      <c r="A2" s="2" t="s">
        <v>126</v>
      </c>
    </row>
    <row r="4" customFormat="false" ht="39.75" hidden="false" customHeight="true" outlineLevel="0" collapsed="false">
      <c r="A4" s="4" t="s">
        <v>127</v>
      </c>
      <c r="B4" s="4" t="s">
        <v>128</v>
      </c>
      <c r="C4" s="4" t="s">
        <v>129</v>
      </c>
      <c r="D4" s="4" t="s">
        <v>130</v>
      </c>
      <c r="E4" s="4" t="s">
        <v>131</v>
      </c>
      <c r="F4" s="4" t="s">
        <v>132</v>
      </c>
      <c r="G4" s="4" t="s">
        <v>133</v>
      </c>
      <c r="H4" s="4" t="s">
        <v>134</v>
      </c>
      <c r="I4" s="4" t="s">
        <v>135</v>
      </c>
      <c r="J4" s="4" t="s">
        <v>136</v>
      </c>
      <c r="K4" s="4" t="s">
        <v>137</v>
      </c>
    </row>
    <row r="5" customFormat="false" ht="15" hidden="false" customHeight="false" outlineLevel="0" collapsed="false">
      <c r="A5" s="8" t="s">
        <v>138</v>
      </c>
      <c r="B5" s="6" t="s">
        <v>139</v>
      </c>
      <c r="C5" s="9" t="s">
        <v>140</v>
      </c>
      <c r="D5" s="8" t="s">
        <v>141</v>
      </c>
      <c r="E5" s="9" t="s">
        <v>142</v>
      </c>
      <c r="F5" s="9" t="s">
        <v>143</v>
      </c>
      <c r="G5" s="9" t="s">
        <v>144</v>
      </c>
      <c r="H5" s="9" t="s">
        <v>145</v>
      </c>
      <c r="I5" s="9"/>
      <c r="J5" s="9"/>
      <c r="K5" s="9" t="s">
        <v>146</v>
      </c>
    </row>
    <row r="6" customFormat="false" ht="23.85" hidden="false" customHeight="false" outlineLevel="0" collapsed="false">
      <c r="A6" s="8" t="s">
        <v>147</v>
      </c>
      <c r="B6" s="6" t="s">
        <v>148</v>
      </c>
      <c r="C6" s="9" t="s">
        <v>140</v>
      </c>
      <c r="D6" s="8" t="s">
        <v>149</v>
      </c>
      <c r="E6" s="9" t="s">
        <v>150</v>
      </c>
      <c r="F6" s="9" t="s">
        <v>151</v>
      </c>
      <c r="G6" s="9" t="s">
        <v>152</v>
      </c>
      <c r="H6" s="9" t="s">
        <v>153</v>
      </c>
      <c r="I6" s="9"/>
      <c r="J6" s="9"/>
      <c r="K6" s="9" t="s">
        <v>146</v>
      </c>
    </row>
    <row r="7" customFormat="false" ht="23.85" hidden="false" customHeight="false" outlineLevel="0" collapsed="false">
      <c r="A7" s="8" t="s">
        <v>154</v>
      </c>
      <c r="B7" s="6" t="s">
        <v>155</v>
      </c>
      <c r="C7" s="9" t="s">
        <v>156</v>
      </c>
      <c r="D7" s="8" t="s">
        <v>157</v>
      </c>
      <c r="E7" s="9" t="s">
        <v>158</v>
      </c>
      <c r="F7" s="9" t="s">
        <v>159</v>
      </c>
      <c r="G7" s="9" t="s">
        <v>160</v>
      </c>
      <c r="H7" s="9" t="s">
        <v>161</v>
      </c>
      <c r="I7" s="27" t="n">
        <f aca="false">'Sizing and Cost'!B57</f>
        <v>0.6</v>
      </c>
      <c r="J7" s="28" t="str">
        <f aca="false">'Sizing and Cost'!D57</f>
        <v>Fits window</v>
      </c>
      <c r="K7" s="9" t="s">
        <v>146</v>
      </c>
    </row>
    <row r="8" customFormat="false" ht="15" hidden="false" customHeight="false" outlineLevel="0" collapsed="false">
      <c r="A8" s="8" t="s">
        <v>162</v>
      </c>
      <c r="B8" s="6" t="s">
        <v>163</v>
      </c>
      <c r="C8" s="9" t="s">
        <v>164</v>
      </c>
      <c r="D8" s="8" t="s">
        <v>157</v>
      </c>
      <c r="E8" s="9" t="s">
        <v>165</v>
      </c>
      <c r="F8" s="9" t="s">
        <v>166</v>
      </c>
      <c r="G8" s="9" t="s">
        <v>167</v>
      </c>
      <c r="H8" s="9" t="s">
        <v>168</v>
      </c>
      <c r="I8" s="27" t="n">
        <f aca="false">'Sizing and Cost'!B58</f>
        <v>1.07142857142857</v>
      </c>
      <c r="J8" s="28" t="str">
        <f aca="false">'Sizing and Cost'!D58</f>
        <v>Fits window</v>
      </c>
      <c r="K8" s="9" t="s">
        <v>146</v>
      </c>
    </row>
    <row r="9" customFormat="false" ht="23.85" hidden="false" customHeight="false" outlineLevel="0" collapsed="false">
      <c r="A9" s="8" t="s">
        <v>169</v>
      </c>
      <c r="B9" s="6" t="s">
        <v>170</v>
      </c>
      <c r="C9" s="9" t="s">
        <v>164</v>
      </c>
      <c r="D9" s="8" t="s">
        <v>171</v>
      </c>
      <c r="E9" s="9" t="s">
        <v>172</v>
      </c>
      <c r="F9" s="9" t="s">
        <v>173</v>
      </c>
      <c r="G9" s="9" t="s">
        <v>174</v>
      </c>
      <c r="H9" s="9" t="s">
        <v>175</v>
      </c>
      <c r="I9" s="9"/>
      <c r="J9" s="9"/>
      <c r="K9" s="9" t="s">
        <v>146</v>
      </c>
    </row>
    <row r="10" customFormat="false" ht="15" hidden="false" customHeight="false" outlineLevel="0" collapsed="false">
      <c r="A10" s="8" t="s">
        <v>176</v>
      </c>
      <c r="B10" s="6" t="s">
        <v>177</v>
      </c>
      <c r="C10" s="9" t="s">
        <v>178</v>
      </c>
      <c r="D10" s="8" t="s">
        <v>179</v>
      </c>
      <c r="E10" s="9" t="s">
        <v>180</v>
      </c>
      <c r="F10" s="9" t="s">
        <v>181</v>
      </c>
      <c r="G10" s="9" t="s">
        <v>182</v>
      </c>
      <c r="H10" s="9" t="s">
        <v>183</v>
      </c>
      <c r="I10" s="9"/>
      <c r="J10" s="9"/>
      <c r="K10" s="9" t="s">
        <v>146</v>
      </c>
    </row>
    <row r="11" customFormat="false" ht="23.85" hidden="false" customHeight="false" outlineLevel="0" collapsed="false">
      <c r="A11" s="8" t="s">
        <v>184</v>
      </c>
      <c r="B11" s="6" t="s">
        <v>185</v>
      </c>
      <c r="C11" s="9" t="s">
        <v>186</v>
      </c>
      <c r="D11" s="8" t="s">
        <v>179</v>
      </c>
      <c r="E11" s="9" t="s">
        <v>187</v>
      </c>
      <c r="F11" s="9" t="s">
        <v>181</v>
      </c>
      <c r="G11" s="9" t="s">
        <v>182</v>
      </c>
      <c r="H11" s="9" t="s">
        <v>188</v>
      </c>
      <c r="I11" s="9"/>
      <c r="J11" s="9"/>
      <c r="K11" s="9" t="s">
        <v>189</v>
      </c>
    </row>
    <row r="12" customFormat="false" ht="23.85" hidden="false" customHeight="false" outlineLevel="0" collapsed="false">
      <c r="A12" s="8" t="s">
        <v>190</v>
      </c>
      <c r="B12" s="6" t="s">
        <v>191</v>
      </c>
      <c r="C12" s="9" t="s">
        <v>192</v>
      </c>
      <c r="D12" s="8" t="s">
        <v>157</v>
      </c>
      <c r="E12" s="9" t="s">
        <v>193</v>
      </c>
      <c r="F12" s="9" t="s">
        <v>194</v>
      </c>
      <c r="G12" s="9" t="s">
        <v>195</v>
      </c>
      <c r="H12" s="9" t="s">
        <v>183</v>
      </c>
      <c r="I12" s="9"/>
      <c r="J12" s="9"/>
      <c r="K12" s="9" t="s">
        <v>146</v>
      </c>
    </row>
    <row r="13" customFormat="false" ht="23.85" hidden="false" customHeight="false" outlineLevel="0" collapsed="false">
      <c r="A13" s="8" t="s">
        <v>196</v>
      </c>
      <c r="B13" s="6" t="s">
        <v>197</v>
      </c>
      <c r="C13" s="9" t="s">
        <v>198</v>
      </c>
      <c r="D13" s="8" t="s">
        <v>199</v>
      </c>
      <c r="E13" s="9" t="s">
        <v>200</v>
      </c>
      <c r="F13" s="9" t="s">
        <v>201</v>
      </c>
      <c r="G13" s="9" t="s">
        <v>202</v>
      </c>
      <c r="H13" s="9" t="s">
        <v>203</v>
      </c>
      <c r="I13" s="9"/>
      <c r="J13" s="9"/>
      <c r="K13" s="9" t="s">
        <v>204</v>
      </c>
    </row>
    <row r="14" customFormat="false" ht="15" hidden="false" customHeight="false" outlineLevel="0" collapsed="false">
      <c r="A14" s="8" t="s">
        <v>205</v>
      </c>
      <c r="B14" s="6" t="s">
        <v>206</v>
      </c>
      <c r="C14" s="9" t="s">
        <v>207</v>
      </c>
      <c r="D14" s="8" t="s">
        <v>208</v>
      </c>
      <c r="E14" s="9" t="s">
        <v>209</v>
      </c>
      <c r="F14" s="9" t="s">
        <v>210</v>
      </c>
      <c r="G14" s="9" t="s">
        <v>211</v>
      </c>
      <c r="H14" s="9" t="s">
        <v>212</v>
      </c>
      <c r="I14" s="9"/>
      <c r="J14" s="9"/>
      <c r="K14" s="9" t="s">
        <v>146</v>
      </c>
    </row>
    <row r="15" customFormat="false" ht="23.85" hidden="false" customHeight="false" outlineLevel="0" collapsed="false">
      <c r="A15" s="8" t="s">
        <v>213</v>
      </c>
      <c r="B15" s="6" t="s">
        <v>214</v>
      </c>
      <c r="C15" s="9" t="s">
        <v>215</v>
      </c>
      <c r="D15" s="8" t="s">
        <v>216</v>
      </c>
      <c r="E15" s="9" t="s">
        <v>217</v>
      </c>
      <c r="F15" s="9" t="s">
        <v>218</v>
      </c>
      <c r="G15" s="9" t="s">
        <v>219</v>
      </c>
      <c r="H15" s="9" t="s">
        <v>212</v>
      </c>
      <c r="I15" s="9"/>
      <c r="J15" s="9"/>
      <c r="K15" s="9" t="s">
        <v>220</v>
      </c>
    </row>
    <row r="16" customFormat="false" ht="23.85" hidden="false" customHeight="false" outlineLevel="0" collapsed="false">
      <c r="A16" s="8" t="s">
        <v>221</v>
      </c>
      <c r="B16" s="6" t="s">
        <v>222</v>
      </c>
      <c r="C16" s="9" t="s">
        <v>223</v>
      </c>
      <c r="D16" s="8" t="s">
        <v>224</v>
      </c>
      <c r="E16" s="9" t="s">
        <v>225</v>
      </c>
      <c r="F16" s="9" t="s">
        <v>210</v>
      </c>
      <c r="G16" s="9" t="s">
        <v>226</v>
      </c>
      <c r="H16" s="9" t="s">
        <v>227</v>
      </c>
      <c r="I16" s="9"/>
      <c r="J16" s="9"/>
      <c r="K16" s="9" t="s">
        <v>146</v>
      </c>
    </row>
    <row r="17" customFormat="false" ht="23.85" hidden="false" customHeight="false" outlineLevel="0" collapsed="false">
      <c r="A17" s="8" t="s">
        <v>228</v>
      </c>
      <c r="B17" s="6" t="s">
        <v>229</v>
      </c>
      <c r="C17" s="9" t="s">
        <v>230</v>
      </c>
      <c r="D17" s="8" t="s">
        <v>231</v>
      </c>
      <c r="E17" s="9" t="s">
        <v>232</v>
      </c>
      <c r="F17" s="9" t="s">
        <v>233</v>
      </c>
      <c r="G17" s="9" t="s">
        <v>234</v>
      </c>
      <c r="H17" s="9" t="s">
        <v>233</v>
      </c>
      <c r="I17" s="9"/>
      <c r="J17" s="9"/>
      <c r="K17" s="9" t="s">
        <v>146</v>
      </c>
    </row>
    <row r="18" customFormat="false" ht="15" hidden="false" customHeight="false" outlineLevel="0" collapsed="false">
      <c r="A18" s="8" t="s">
        <v>235</v>
      </c>
      <c r="B18" s="6" t="s">
        <v>236</v>
      </c>
      <c r="C18" s="9" t="s">
        <v>237</v>
      </c>
      <c r="D18" s="8" t="s">
        <v>238</v>
      </c>
      <c r="E18" s="9" t="s">
        <v>239</v>
      </c>
      <c r="F18" s="9" t="s">
        <v>233</v>
      </c>
      <c r="G18" s="9" t="s">
        <v>240</v>
      </c>
      <c r="H18" s="9" t="s">
        <v>241</v>
      </c>
      <c r="I18" s="9"/>
      <c r="J18" s="9"/>
      <c r="K18" s="9" t="s">
        <v>146</v>
      </c>
    </row>
    <row r="19" customFormat="false" ht="23.85" hidden="false" customHeight="false" outlineLevel="0" collapsed="false">
      <c r="A19" s="8" t="s">
        <v>242</v>
      </c>
      <c r="B19" s="6" t="s">
        <v>243</v>
      </c>
      <c r="C19" s="9" t="s">
        <v>244</v>
      </c>
      <c r="D19" s="8" t="s">
        <v>238</v>
      </c>
      <c r="E19" s="9" t="s">
        <v>245</v>
      </c>
      <c r="F19" s="9" t="s">
        <v>233</v>
      </c>
      <c r="G19" s="9" t="s">
        <v>246</v>
      </c>
      <c r="H19" s="9" t="s">
        <v>247</v>
      </c>
      <c r="I19" s="9"/>
      <c r="J19" s="9"/>
      <c r="K19" s="9" t="s">
        <v>146</v>
      </c>
    </row>
    <row r="21" customFormat="false" ht="15" hidden="false" customHeight="false" outlineLevel="0" collapsed="false">
      <c r="A21" s="29" t="s">
        <v>248</v>
      </c>
    </row>
    <row r="22" customFormat="false" ht="15" hidden="false" customHeight="false" outlineLevel="0" collapsed="false">
      <c r="A22" s="29" t="s">
        <v>249</v>
      </c>
    </row>
  </sheetData>
  <conditionalFormatting sqref="J5:J19">
    <cfRule type="cellIs" priority="2" operator="equal" aboveAverage="0" equalAverage="0" bottom="0" percent="0" rank="0" text="" dxfId="0">
      <formula>"TOO LONG"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0"/>
    <col collapsed="false" customWidth="true" hidden="false" outlineLevel="0" max="3" min="3" style="0" width="34"/>
    <col collapsed="false" customWidth="true" hidden="false" outlineLevel="0" max="4" min="4" style="0" width="44"/>
    <col collapsed="false" customWidth="true" hidden="false" outlineLevel="0" max="5" min="5" style="0" width="46"/>
    <col collapsed="false" customWidth="true" hidden="false" outlineLevel="0" max="6" min="6" style="0" width="16"/>
    <col collapsed="false" customWidth="true" hidden="false" outlineLevel="0" max="8" min="7" style="0" width="12"/>
  </cols>
  <sheetData>
    <row r="1" customFormat="false" ht="17.35" hidden="false" customHeight="false" outlineLevel="0" collapsed="false">
      <c r="A1" s="1" t="s">
        <v>250</v>
      </c>
    </row>
    <row r="2" customFormat="false" ht="15" hidden="false" customHeight="false" outlineLevel="0" collapsed="false">
      <c r="A2" s="2" t="s">
        <v>251</v>
      </c>
    </row>
    <row r="4" customFormat="false" ht="15" hidden="false" customHeight="false" outlineLevel="0" collapsed="false">
      <c r="A4" s="3" t="s">
        <v>252</v>
      </c>
    </row>
    <row r="5" customFormat="false" ht="27.75" hidden="false" customHeight="true" outlineLevel="0" collapsed="false">
      <c r="A5" s="4" t="s">
        <v>253</v>
      </c>
      <c r="B5" s="4" t="s">
        <v>254</v>
      </c>
      <c r="C5" s="4" t="s">
        <v>255</v>
      </c>
      <c r="D5" s="4" t="s">
        <v>256</v>
      </c>
    </row>
    <row r="6" customFormat="false" ht="46.25" hidden="false" customHeight="false" outlineLevel="0" collapsed="false">
      <c r="A6" s="6" t="s">
        <v>257</v>
      </c>
      <c r="B6" s="9" t="s">
        <v>258</v>
      </c>
      <c r="C6" s="9" t="s">
        <v>259</v>
      </c>
      <c r="D6" s="9" t="s">
        <v>260</v>
      </c>
    </row>
    <row r="7" customFormat="false" ht="23.85" hidden="false" customHeight="false" outlineLevel="0" collapsed="false">
      <c r="A7" s="6" t="s">
        <v>261</v>
      </c>
      <c r="B7" s="9" t="s">
        <v>262</v>
      </c>
      <c r="C7" s="9" t="s">
        <v>263</v>
      </c>
      <c r="D7" s="9" t="s">
        <v>264</v>
      </c>
    </row>
    <row r="8" customFormat="false" ht="23.85" hidden="false" customHeight="false" outlineLevel="0" collapsed="false">
      <c r="A8" s="6" t="s">
        <v>265</v>
      </c>
      <c r="B8" s="9" t="s">
        <v>266</v>
      </c>
      <c r="C8" s="9" t="s">
        <v>267</v>
      </c>
      <c r="D8" s="9" t="s">
        <v>268</v>
      </c>
    </row>
    <row r="10" customFormat="false" ht="15" hidden="false" customHeight="false" outlineLevel="0" collapsed="false">
      <c r="A10" s="3" t="s">
        <v>269</v>
      </c>
    </row>
    <row r="11" customFormat="false" ht="27.75" hidden="false" customHeight="true" outlineLevel="0" collapsed="false">
      <c r="A11" s="4" t="s">
        <v>270</v>
      </c>
      <c r="B11" s="4" t="s">
        <v>253</v>
      </c>
      <c r="C11" s="4" t="s">
        <v>271</v>
      </c>
      <c r="D11" s="4" t="s">
        <v>272</v>
      </c>
      <c r="E11" s="4" t="s">
        <v>273</v>
      </c>
    </row>
    <row r="12" customFormat="false" ht="23.85" hidden="false" customHeight="false" outlineLevel="0" collapsed="false">
      <c r="A12" s="6" t="s">
        <v>274</v>
      </c>
      <c r="B12" s="8" t="s">
        <v>275</v>
      </c>
      <c r="C12" s="9" t="s">
        <v>276</v>
      </c>
      <c r="D12" s="9" t="s">
        <v>277</v>
      </c>
      <c r="E12" s="9" t="s">
        <v>278</v>
      </c>
    </row>
    <row r="13" customFormat="false" ht="23.85" hidden="false" customHeight="false" outlineLevel="0" collapsed="false">
      <c r="A13" s="6" t="s">
        <v>279</v>
      </c>
      <c r="B13" s="8" t="s">
        <v>275</v>
      </c>
      <c r="C13" s="9" t="s">
        <v>280</v>
      </c>
      <c r="D13" s="9" t="s">
        <v>281</v>
      </c>
      <c r="E13" s="9" t="s">
        <v>282</v>
      </c>
    </row>
    <row r="14" customFormat="false" ht="23.85" hidden="false" customHeight="false" outlineLevel="0" collapsed="false">
      <c r="A14" s="6" t="s">
        <v>283</v>
      </c>
      <c r="B14" s="8" t="s">
        <v>275</v>
      </c>
      <c r="C14" s="9" t="s">
        <v>284</v>
      </c>
      <c r="D14" s="9" t="s">
        <v>285</v>
      </c>
      <c r="E14" s="9" t="s">
        <v>286</v>
      </c>
    </row>
    <row r="15" customFormat="false" ht="23.85" hidden="false" customHeight="false" outlineLevel="0" collapsed="false">
      <c r="A15" s="6" t="s">
        <v>287</v>
      </c>
      <c r="B15" s="8" t="s">
        <v>288</v>
      </c>
      <c r="C15" s="9" t="s">
        <v>289</v>
      </c>
      <c r="D15" s="9" t="s">
        <v>290</v>
      </c>
      <c r="E15" s="9" t="s">
        <v>291</v>
      </c>
    </row>
    <row r="16" customFormat="false" ht="23.85" hidden="false" customHeight="false" outlineLevel="0" collapsed="false">
      <c r="A16" s="6" t="s">
        <v>292</v>
      </c>
      <c r="B16" s="8" t="s">
        <v>288</v>
      </c>
      <c r="C16" s="9" t="s">
        <v>293</v>
      </c>
      <c r="D16" s="9" t="s">
        <v>294</v>
      </c>
      <c r="E16" s="9" t="s">
        <v>295</v>
      </c>
    </row>
    <row r="17" customFormat="false" ht="23.85" hidden="false" customHeight="false" outlineLevel="0" collapsed="false">
      <c r="A17" s="6" t="s">
        <v>296</v>
      </c>
      <c r="B17" s="8" t="s">
        <v>288</v>
      </c>
      <c r="C17" s="9" t="s">
        <v>297</v>
      </c>
      <c r="D17" s="9" t="s">
        <v>298</v>
      </c>
      <c r="E17" s="9" t="s">
        <v>299</v>
      </c>
    </row>
    <row r="18" customFormat="false" ht="23.85" hidden="false" customHeight="false" outlineLevel="0" collapsed="false">
      <c r="A18" s="6" t="s">
        <v>300</v>
      </c>
      <c r="B18" s="8" t="s">
        <v>301</v>
      </c>
      <c r="C18" s="9" t="s">
        <v>302</v>
      </c>
      <c r="D18" s="9" t="s">
        <v>303</v>
      </c>
      <c r="E18" s="9" t="s">
        <v>304</v>
      </c>
    </row>
    <row r="19" customFormat="false" ht="23.85" hidden="false" customHeight="false" outlineLevel="0" collapsed="false">
      <c r="A19" s="6" t="s">
        <v>305</v>
      </c>
      <c r="B19" s="8" t="s">
        <v>301</v>
      </c>
      <c r="C19" s="9" t="s">
        <v>306</v>
      </c>
      <c r="D19" s="9" t="s">
        <v>307</v>
      </c>
      <c r="E19" s="9" t="s">
        <v>308</v>
      </c>
    </row>
    <row r="20" customFormat="false" ht="15" hidden="false" customHeight="false" outlineLevel="0" collapsed="false">
      <c r="A20" s="6" t="s">
        <v>309</v>
      </c>
      <c r="B20" s="8" t="s">
        <v>301</v>
      </c>
      <c r="C20" s="9" t="s">
        <v>310</v>
      </c>
      <c r="D20" s="9" t="s">
        <v>267</v>
      </c>
      <c r="E20" s="9" t="s">
        <v>311</v>
      </c>
    </row>
    <row r="22" customFormat="false" ht="15" hidden="false" customHeight="false" outlineLevel="0" collapsed="false">
      <c r="A22" s="3" t="s">
        <v>312</v>
      </c>
    </row>
    <row r="23" customFormat="false" ht="27.75" hidden="false" customHeight="true" outlineLevel="0" collapsed="false">
      <c r="A23" s="4" t="s">
        <v>127</v>
      </c>
      <c r="B23" s="4" t="s">
        <v>313</v>
      </c>
      <c r="C23" s="4" t="s">
        <v>271</v>
      </c>
      <c r="D23" s="4" t="s">
        <v>272</v>
      </c>
      <c r="E23" s="4" t="s">
        <v>314</v>
      </c>
      <c r="F23" s="4" t="s">
        <v>315</v>
      </c>
    </row>
    <row r="24" customFormat="false" ht="15" hidden="false" customHeight="false" outlineLevel="0" collapsed="false">
      <c r="A24" s="8" t="s">
        <v>316</v>
      </c>
      <c r="B24" s="6" t="s">
        <v>317</v>
      </c>
      <c r="C24" s="9" t="s">
        <v>318</v>
      </c>
      <c r="D24" s="9" t="s">
        <v>318</v>
      </c>
      <c r="E24" s="9" t="s">
        <v>319</v>
      </c>
      <c r="F24" s="8" t="s">
        <v>320</v>
      </c>
    </row>
    <row r="25" customFormat="false" ht="23.85" hidden="false" customHeight="false" outlineLevel="0" collapsed="false">
      <c r="A25" s="8" t="s">
        <v>321</v>
      </c>
      <c r="B25" s="6" t="s">
        <v>322</v>
      </c>
      <c r="C25" s="9" t="s">
        <v>323</v>
      </c>
      <c r="D25" s="9" t="s">
        <v>324</v>
      </c>
      <c r="E25" s="9" t="s">
        <v>325</v>
      </c>
      <c r="F25" s="8" t="s">
        <v>326</v>
      </c>
    </row>
    <row r="26" customFormat="false" ht="23.85" hidden="false" customHeight="false" outlineLevel="0" collapsed="false">
      <c r="A26" s="8" t="s">
        <v>327</v>
      </c>
      <c r="B26" s="6" t="s">
        <v>328</v>
      </c>
      <c r="C26" s="9" t="s">
        <v>289</v>
      </c>
      <c r="D26" s="9" t="s">
        <v>329</v>
      </c>
      <c r="E26" s="9" t="s">
        <v>330</v>
      </c>
      <c r="F26" s="8" t="s">
        <v>331</v>
      </c>
    </row>
    <row r="27" customFormat="false" ht="23.85" hidden="false" customHeight="false" outlineLevel="0" collapsed="false">
      <c r="A27" s="8" t="s">
        <v>332</v>
      </c>
      <c r="B27" s="6" t="s">
        <v>333</v>
      </c>
      <c r="C27" s="9" t="s">
        <v>289</v>
      </c>
      <c r="D27" s="9" t="s">
        <v>334</v>
      </c>
      <c r="E27" s="9" t="s">
        <v>335</v>
      </c>
      <c r="F27" s="8" t="s">
        <v>336</v>
      </c>
    </row>
    <row r="28" customFormat="false" ht="23.85" hidden="false" customHeight="false" outlineLevel="0" collapsed="false">
      <c r="A28" s="8" t="s">
        <v>337</v>
      </c>
      <c r="B28" s="6" t="s">
        <v>338</v>
      </c>
      <c r="C28" s="9" t="s">
        <v>339</v>
      </c>
      <c r="D28" s="9" t="s">
        <v>298</v>
      </c>
      <c r="E28" s="9" t="s">
        <v>340</v>
      </c>
      <c r="F28" s="8" t="s">
        <v>341</v>
      </c>
    </row>
    <row r="29" customFormat="false" ht="23.85" hidden="false" customHeight="false" outlineLevel="0" collapsed="false">
      <c r="A29" s="8" t="s">
        <v>342</v>
      </c>
      <c r="B29" s="6" t="s">
        <v>343</v>
      </c>
      <c r="C29" s="9" t="s">
        <v>306</v>
      </c>
      <c r="D29" s="9" t="s">
        <v>344</v>
      </c>
      <c r="E29" s="9" t="s">
        <v>345</v>
      </c>
      <c r="F29" s="8" t="s">
        <v>346</v>
      </c>
    </row>
    <row r="30" customFormat="false" ht="23.85" hidden="false" customHeight="false" outlineLevel="0" collapsed="false">
      <c r="A30" s="8" t="s">
        <v>347</v>
      </c>
      <c r="B30" s="6" t="s">
        <v>348</v>
      </c>
      <c r="C30" s="9" t="s">
        <v>349</v>
      </c>
      <c r="D30" s="9" t="s">
        <v>298</v>
      </c>
      <c r="E30" s="9" t="s">
        <v>350</v>
      </c>
      <c r="F30" s="8" t="s">
        <v>351</v>
      </c>
    </row>
    <row r="31" customFormat="false" ht="35.05" hidden="false" customHeight="false" outlineLevel="0" collapsed="false">
      <c r="A31" s="8" t="s">
        <v>352</v>
      </c>
      <c r="B31" s="6" t="s">
        <v>353</v>
      </c>
      <c r="C31" s="9" t="s">
        <v>289</v>
      </c>
      <c r="D31" s="9" t="s">
        <v>354</v>
      </c>
      <c r="E31" s="9" t="s">
        <v>355</v>
      </c>
      <c r="F31" s="8" t="s">
        <v>356</v>
      </c>
    </row>
    <row r="32" customFormat="false" ht="23.85" hidden="false" customHeight="false" outlineLevel="0" collapsed="false">
      <c r="A32" s="8" t="s">
        <v>357</v>
      </c>
      <c r="B32" s="6" t="s">
        <v>358</v>
      </c>
      <c r="C32" s="9" t="s">
        <v>359</v>
      </c>
      <c r="D32" s="9" t="s">
        <v>360</v>
      </c>
      <c r="E32" s="9" t="s">
        <v>361</v>
      </c>
      <c r="F32" s="8" t="s">
        <v>362</v>
      </c>
    </row>
    <row r="33" customFormat="false" ht="23.85" hidden="false" customHeight="false" outlineLevel="0" collapsed="false">
      <c r="A33" s="8" t="s">
        <v>363</v>
      </c>
      <c r="B33" s="6" t="s">
        <v>364</v>
      </c>
      <c r="C33" s="9" t="s">
        <v>365</v>
      </c>
      <c r="D33" s="9" t="s">
        <v>366</v>
      </c>
      <c r="E33" s="9" t="s">
        <v>367</v>
      </c>
      <c r="F33" s="8" t="s">
        <v>346</v>
      </c>
    </row>
    <row r="35" customFormat="false" ht="15" hidden="false" customHeight="false" outlineLevel="0" collapsed="false">
      <c r="A35" s="3" t="s">
        <v>368</v>
      </c>
    </row>
    <row r="36" customFormat="false" ht="39.75" hidden="false" customHeight="true" outlineLevel="0" collapsed="false">
      <c r="A36" s="4" t="s">
        <v>369</v>
      </c>
      <c r="B36" s="4" t="s">
        <v>370</v>
      </c>
      <c r="C36" s="4" t="s">
        <v>371</v>
      </c>
      <c r="D36" s="4" t="s">
        <v>372</v>
      </c>
      <c r="E36" s="4" t="s">
        <v>373</v>
      </c>
      <c r="F36" s="4" t="s">
        <v>374</v>
      </c>
      <c r="G36" s="4" t="s">
        <v>375</v>
      </c>
      <c r="H36" s="4" t="s">
        <v>111</v>
      </c>
    </row>
    <row r="37" customFormat="false" ht="15" hidden="false" customHeight="false" outlineLevel="0" collapsed="false">
      <c r="A37" s="6" t="s">
        <v>376</v>
      </c>
      <c r="B37" s="30" t="n">
        <f aca="false">'Sizing and Cost'!B40*'Sizing and Cost'!$B$20</f>
        <v>540</v>
      </c>
      <c r="C37" s="8" t="s">
        <v>377</v>
      </c>
      <c r="D37" s="27" t="n">
        <f aca="false">'Sizing and Cost'!$B$8</f>
        <v>100</v>
      </c>
      <c r="E37" s="27" t="n">
        <f aca="false">'Sizing and Cost'!$B$22</f>
        <v>1</v>
      </c>
      <c r="F37" s="31" t="n">
        <f aca="false">B37*1000/D37/3600+E37</f>
        <v>2.5</v>
      </c>
      <c r="G37" s="10" t="n">
        <v>4</v>
      </c>
      <c r="H37" s="18" t="str">
        <f aca="false">IF(F37&lt;=G37,"OK","EXCEEDS")</f>
        <v>OK</v>
      </c>
    </row>
    <row r="38" customFormat="false" ht="15" hidden="false" customHeight="false" outlineLevel="0" collapsed="false">
      <c r="A38" s="6" t="s">
        <v>378</v>
      </c>
      <c r="B38" s="30" t="n">
        <f aca="false">'Sizing and Cost'!C40*'Sizing and Cost'!$B$20</f>
        <v>702</v>
      </c>
      <c r="C38" s="8" t="s">
        <v>377</v>
      </c>
      <c r="D38" s="27" t="n">
        <f aca="false">'Sizing and Cost'!$B$8</f>
        <v>100</v>
      </c>
      <c r="E38" s="27" t="n">
        <f aca="false">'Sizing and Cost'!$B$22</f>
        <v>1</v>
      </c>
      <c r="F38" s="31" t="n">
        <f aca="false">B38*1000/D38/3600+E38</f>
        <v>2.95</v>
      </c>
      <c r="G38" s="10" t="n">
        <v>4</v>
      </c>
      <c r="H38" s="18" t="str">
        <f aca="false">IF(F38&lt;=G38,"OK","EXCEEDS")</f>
        <v>OK</v>
      </c>
    </row>
    <row r="39" customFormat="false" ht="23.85" hidden="false" customHeight="false" outlineLevel="0" collapsed="false">
      <c r="A39" s="6" t="s">
        <v>379</v>
      </c>
      <c r="B39" s="30" t="n">
        <f aca="false">'Sizing and Cost'!B40</f>
        <v>1800</v>
      </c>
      <c r="C39" s="8" t="s">
        <v>377</v>
      </c>
      <c r="D39" s="27" t="n">
        <f aca="false">'Sizing and Cost'!$B$8</f>
        <v>100</v>
      </c>
      <c r="E39" s="27" t="n">
        <f aca="false">'Sizing and Cost'!$B$21</f>
        <v>4</v>
      </c>
      <c r="F39" s="31" t="n">
        <f aca="false">B39*1000/D39/3600+E39</f>
        <v>9</v>
      </c>
      <c r="G39" s="10" t="n">
        <v>48</v>
      </c>
      <c r="H39" s="18" t="str">
        <f aca="false">IF(F39&lt;=G39,"OK","EXCEEDS")</f>
        <v>OK</v>
      </c>
    </row>
    <row r="40" customFormat="false" ht="23.85" hidden="false" customHeight="false" outlineLevel="0" collapsed="false">
      <c r="A40" s="6" t="s">
        <v>380</v>
      </c>
      <c r="B40" s="30" t="n">
        <f aca="false">'Sizing and Cost'!C40</f>
        <v>2340</v>
      </c>
      <c r="C40" s="8" t="s">
        <v>377</v>
      </c>
      <c r="D40" s="27" t="n">
        <f aca="false">'Sizing and Cost'!$B$8</f>
        <v>100</v>
      </c>
      <c r="E40" s="27" t="n">
        <f aca="false">'Sizing and Cost'!$B$21</f>
        <v>4</v>
      </c>
      <c r="F40" s="31" t="n">
        <f aca="false">B40*1000/D40/3600+E40</f>
        <v>10.5</v>
      </c>
      <c r="G40" s="10" t="n">
        <v>48</v>
      </c>
      <c r="H40" s="18" t="str">
        <f aca="false">IF(F40&lt;=G40,"OK","EXCEEDS")</f>
        <v>OK</v>
      </c>
    </row>
    <row r="41" customFormat="false" ht="15" hidden="false" customHeight="false" outlineLevel="0" collapsed="false">
      <c r="A41" s="6" t="s">
        <v>381</v>
      </c>
      <c r="B41" s="30" t="n">
        <f aca="false">'Sizing and Cost'!B40*'Sizing and Cost'!$B$20</f>
        <v>540</v>
      </c>
      <c r="C41" s="8" t="s">
        <v>382</v>
      </c>
      <c r="D41" s="27" t="n">
        <f aca="false">'Sizing and Cost'!$B$55</f>
        <v>17.5</v>
      </c>
      <c r="E41" s="27" t="n">
        <f aca="false">'Sizing and Cost'!$B$21</f>
        <v>4</v>
      </c>
      <c r="F41" s="31" t="n">
        <f aca="false">B41*1000/D41/3600+E41</f>
        <v>12.5714285714286</v>
      </c>
      <c r="G41" s="10" t="n">
        <v>24</v>
      </c>
      <c r="H41" s="18" t="str">
        <f aca="false">IF(F41&lt;=G41,"OK","EXCEEDS")</f>
        <v>OK</v>
      </c>
    </row>
    <row r="42" customFormat="false" ht="15" hidden="false" customHeight="false" outlineLevel="0" collapsed="false">
      <c r="A42" s="6" t="s">
        <v>383</v>
      </c>
      <c r="B42" s="30" t="n">
        <f aca="false">'Sizing and Cost'!C40*'Sizing and Cost'!$B$20</f>
        <v>702</v>
      </c>
      <c r="C42" s="8" t="s">
        <v>382</v>
      </c>
      <c r="D42" s="27" t="n">
        <f aca="false">'Sizing and Cost'!$B$55</f>
        <v>17.5</v>
      </c>
      <c r="E42" s="27" t="n">
        <f aca="false">'Sizing and Cost'!$B$21</f>
        <v>4</v>
      </c>
      <c r="F42" s="31" t="n">
        <f aca="false">B42*1000/D42/3600+E42</f>
        <v>15.1428571428571</v>
      </c>
      <c r="G42" s="10" t="n">
        <v>24</v>
      </c>
      <c r="H42" s="18" t="str">
        <f aca="false">IF(F42&lt;=G42,"OK","EXCEEDS")</f>
        <v>OK</v>
      </c>
    </row>
    <row r="43" customFormat="false" ht="15" hidden="false" customHeight="false" outlineLevel="0" collapsed="false">
      <c r="A43" s="6" t="s">
        <v>384</v>
      </c>
      <c r="B43" s="30" t="n">
        <f aca="false">'Sizing and Cost'!B40</f>
        <v>1800</v>
      </c>
      <c r="C43" s="8" t="s">
        <v>382</v>
      </c>
      <c r="D43" s="27" t="n">
        <f aca="false">'Sizing and Cost'!$B$55</f>
        <v>17.5</v>
      </c>
      <c r="E43" s="27" t="n">
        <f aca="false">'Sizing and Cost'!$B$21</f>
        <v>4</v>
      </c>
      <c r="F43" s="31" t="n">
        <f aca="false">B43*1000/D43/3600+E43</f>
        <v>32.5714285714286</v>
      </c>
      <c r="G43" s="10" t="n">
        <v>120</v>
      </c>
      <c r="H43" s="18" t="str">
        <f aca="false">IF(F43&lt;=G43,"OK","EXCEEDS")</f>
        <v>OK</v>
      </c>
    </row>
    <row r="44" customFormat="false" ht="15" hidden="false" customHeight="false" outlineLevel="0" collapsed="false">
      <c r="A44" s="6" t="s">
        <v>385</v>
      </c>
      <c r="B44" s="30" t="n">
        <f aca="false">'Sizing and Cost'!C40</f>
        <v>2340</v>
      </c>
      <c r="C44" s="8" t="s">
        <v>382</v>
      </c>
      <c r="D44" s="27" t="n">
        <f aca="false">'Sizing and Cost'!$B$55</f>
        <v>17.5</v>
      </c>
      <c r="E44" s="27" t="n">
        <f aca="false">'Sizing and Cost'!$B$21</f>
        <v>4</v>
      </c>
      <c r="F44" s="31" t="n">
        <f aca="false">B44*1000/D44/3600+E44</f>
        <v>41.1428571428571</v>
      </c>
      <c r="G44" s="10" t="n">
        <v>120</v>
      </c>
      <c r="H44" s="18" t="str">
        <f aca="false">IF(F44&lt;=G44,"OK","EXCEEDS")</f>
        <v>OK</v>
      </c>
    </row>
    <row r="46" customFormat="false" ht="15" hidden="false" customHeight="false" outlineLevel="0" collapsed="false">
      <c r="A46" s="29" t="s">
        <v>386</v>
      </c>
    </row>
    <row r="47" customFormat="false" ht="15" hidden="false" customHeight="false" outlineLevel="0" collapsed="false">
      <c r="A47" s="29" t="s">
        <v>387</v>
      </c>
    </row>
  </sheetData>
  <conditionalFormatting sqref="H37:H44">
    <cfRule type="cellIs" priority="2" operator="equal" aboveAverage="0" equalAverage="0" bottom="0" percent="0" rank="0" text="" dxfId="0">
      <formula>"EXCEEDS"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2"/>
    <col collapsed="false" customWidth="true" hidden="false" outlineLevel="0" max="4" min="4" style="0" width="46"/>
    <col collapsed="false" customWidth="true" hidden="false" outlineLevel="0" max="5" min="5" style="0" width="34"/>
    <col collapsed="false" customWidth="true" hidden="false" outlineLevel="0" max="6" min="6" style="0" width="26"/>
    <col collapsed="false" customWidth="true" hidden="false" outlineLevel="0" max="8" min="7" style="0" width="12"/>
    <col collapsed="false" customWidth="true" hidden="false" outlineLevel="0" max="9" min="9" style="0" width="10"/>
    <col collapsed="false" customWidth="true" hidden="false" outlineLevel="0" max="10" min="10" style="0" width="34"/>
    <col collapsed="false" customWidth="true" hidden="false" outlineLevel="0" max="11" min="11" style="0" width="14"/>
    <col collapsed="false" customWidth="true" hidden="false" outlineLevel="0" max="12" min="12" style="0" width="18"/>
  </cols>
  <sheetData>
    <row r="1" customFormat="false" ht="17.35" hidden="false" customHeight="false" outlineLevel="0" collapsed="false">
      <c r="A1" s="1" t="s">
        <v>388</v>
      </c>
    </row>
    <row r="2" customFormat="false" ht="15" hidden="false" customHeight="false" outlineLevel="0" collapsed="false">
      <c r="A2" s="2" t="s">
        <v>389</v>
      </c>
    </row>
    <row r="4" customFormat="false" ht="39.75" hidden="false" customHeight="true" outlineLevel="0" collapsed="false">
      <c r="A4" s="4" t="s">
        <v>390</v>
      </c>
      <c r="B4" s="4" t="s">
        <v>391</v>
      </c>
      <c r="C4" s="4" t="s">
        <v>392</v>
      </c>
      <c r="D4" s="4" t="s">
        <v>393</v>
      </c>
      <c r="E4" s="4" t="s">
        <v>394</v>
      </c>
      <c r="F4" s="4" t="s">
        <v>395</v>
      </c>
      <c r="G4" s="4" t="s">
        <v>396</v>
      </c>
      <c r="H4" s="4" t="s">
        <v>397</v>
      </c>
      <c r="I4" s="4" t="s">
        <v>111</v>
      </c>
      <c r="J4" s="4" t="s">
        <v>398</v>
      </c>
      <c r="K4" s="4" t="s">
        <v>399</v>
      </c>
      <c r="L4" s="4" t="s">
        <v>400</v>
      </c>
    </row>
    <row r="5" customFormat="false" ht="15" hidden="false" customHeight="false" outlineLevel="0" collapsed="false">
      <c r="A5" s="8" t="s">
        <v>401</v>
      </c>
      <c r="B5" s="8" t="s">
        <v>402</v>
      </c>
      <c r="C5" s="9" t="s">
        <v>403</v>
      </c>
      <c r="D5" s="9" t="s">
        <v>404</v>
      </c>
      <c r="E5" s="9" t="s">
        <v>377</v>
      </c>
      <c r="F5" s="32"/>
      <c r="G5" s="32"/>
      <c r="H5" s="32"/>
      <c r="I5" s="32"/>
      <c r="J5" s="32"/>
      <c r="K5" s="32"/>
      <c r="L5" s="32"/>
    </row>
    <row r="6" customFormat="false" ht="15" hidden="false" customHeight="false" outlineLevel="0" collapsed="false">
      <c r="A6" s="8" t="s">
        <v>405</v>
      </c>
      <c r="B6" s="8" t="s">
        <v>402</v>
      </c>
      <c r="C6" s="9" t="s">
        <v>403</v>
      </c>
      <c r="D6" s="9" t="s">
        <v>406</v>
      </c>
      <c r="E6" s="9" t="s">
        <v>377</v>
      </c>
      <c r="F6" s="32"/>
      <c r="G6" s="32"/>
      <c r="H6" s="32"/>
      <c r="I6" s="32"/>
      <c r="J6" s="32"/>
      <c r="K6" s="32"/>
      <c r="L6" s="32"/>
    </row>
    <row r="7" customFormat="false" ht="15" hidden="false" customHeight="false" outlineLevel="0" collapsed="false">
      <c r="A7" s="8" t="s">
        <v>407</v>
      </c>
      <c r="B7" s="8" t="s">
        <v>402</v>
      </c>
      <c r="C7" s="9" t="s">
        <v>403</v>
      </c>
      <c r="D7" s="9" t="s">
        <v>408</v>
      </c>
      <c r="E7" s="9" t="s">
        <v>377</v>
      </c>
      <c r="F7" s="32"/>
      <c r="G7" s="32"/>
      <c r="H7" s="32"/>
      <c r="I7" s="32"/>
      <c r="J7" s="32"/>
      <c r="K7" s="32"/>
      <c r="L7" s="32"/>
    </row>
    <row r="8" customFormat="false" ht="15" hidden="false" customHeight="false" outlineLevel="0" collapsed="false">
      <c r="A8" s="8" t="s">
        <v>409</v>
      </c>
      <c r="B8" s="8" t="s">
        <v>402</v>
      </c>
      <c r="C8" s="9" t="s">
        <v>403</v>
      </c>
      <c r="D8" s="9" t="s">
        <v>410</v>
      </c>
      <c r="E8" s="9" t="s">
        <v>377</v>
      </c>
      <c r="F8" s="32"/>
      <c r="G8" s="32"/>
      <c r="H8" s="32"/>
      <c r="I8" s="32"/>
      <c r="J8" s="32"/>
      <c r="K8" s="32"/>
      <c r="L8" s="32"/>
    </row>
    <row r="9" customFormat="false" ht="15" hidden="false" customHeight="false" outlineLevel="0" collapsed="false">
      <c r="A9" s="8" t="s">
        <v>411</v>
      </c>
      <c r="B9" s="8" t="s">
        <v>402</v>
      </c>
      <c r="C9" s="9" t="s">
        <v>403</v>
      </c>
      <c r="D9" s="9" t="s">
        <v>412</v>
      </c>
      <c r="E9" s="9" t="s">
        <v>377</v>
      </c>
      <c r="F9" s="32"/>
      <c r="G9" s="32"/>
      <c r="H9" s="32"/>
      <c r="I9" s="32"/>
      <c r="J9" s="32"/>
      <c r="K9" s="32"/>
      <c r="L9" s="32"/>
    </row>
    <row r="10" customFormat="false" ht="15" hidden="false" customHeight="false" outlineLevel="0" collapsed="false">
      <c r="A10" s="8" t="s">
        <v>413</v>
      </c>
      <c r="B10" s="8" t="s">
        <v>402</v>
      </c>
      <c r="C10" s="9" t="s">
        <v>403</v>
      </c>
      <c r="D10" s="9" t="s">
        <v>414</v>
      </c>
      <c r="E10" s="9" t="s">
        <v>377</v>
      </c>
      <c r="F10" s="32"/>
      <c r="G10" s="32"/>
      <c r="H10" s="32"/>
      <c r="I10" s="32"/>
      <c r="J10" s="32"/>
      <c r="K10" s="32"/>
      <c r="L10" s="32"/>
    </row>
    <row r="11" customFormat="false" ht="15" hidden="false" customHeight="false" outlineLevel="0" collapsed="false">
      <c r="A11" s="8" t="s">
        <v>415</v>
      </c>
      <c r="B11" s="8" t="s">
        <v>402</v>
      </c>
      <c r="C11" s="9" t="s">
        <v>416</v>
      </c>
      <c r="D11" s="9" t="s">
        <v>417</v>
      </c>
      <c r="E11" s="9" t="s">
        <v>418</v>
      </c>
      <c r="F11" s="32"/>
      <c r="G11" s="32"/>
      <c r="H11" s="32"/>
      <c r="I11" s="32"/>
      <c r="J11" s="32"/>
      <c r="K11" s="32"/>
      <c r="L11" s="32"/>
    </row>
    <row r="12" customFormat="false" ht="15" hidden="false" customHeight="false" outlineLevel="0" collapsed="false">
      <c r="A12" s="8" t="s">
        <v>419</v>
      </c>
      <c r="B12" s="8" t="s">
        <v>420</v>
      </c>
      <c r="C12" s="9" t="s">
        <v>403</v>
      </c>
      <c r="D12" s="9" t="s">
        <v>404</v>
      </c>
      <c r="E12" s="9" t="s">
        <v>382</v>
      </c>
      <c r="F12" s="32"/>
      <c r="G12" s="32"/>
      <c r="H12" s="32"/>
      <c r="I12" s="32"/>
      <c r="J12" s="32"/>
      <c r="K12" s="32"/>
      <c r="L12" s="32"/>
    </row>
    <row r="13" customFormat="false" ht="15" hidden="false" customHeight="false" outlineLevel="0" collapsed="false">
      <c r="A13" s="8" t="s">
        <v>421</v>
      </c>
      <c r="B13" s="8" t="s">
        <v>420</v>
      </c>
      <c r="C13" s="9" t="s">
        <v>403</v>
      </c>
      <c r="D13" s="9" t="s">
        <v>406</v>
      </c>
      <c r="E13" s="9" t="s">
        <v>382</v>
      </c>
      <c r="F13" s="32"/>
      <c r="G13" s="32"/>
      <c r="H13" s="32"/>
      <c r="I13" s="32"/>
      <c r="J13" s="32"/>
      <c r="K13" s="32"/>
      <c r="L13" s="32"/>
    </row>
    <row r="14" customFormat="false" ht="15" hidden="false" customHeight="false" outlineLevel="0" collapsed="false">
      <c r="A14" s="8" t="s">
        <v>422</v>
      </c>
      <c r="B14" s="8" t="s">
        <v>420</v>
      </c>
      <c r="C14" s="9" t="s">
        <v>403</v>
      </c>
      <c r="D14" s="9" t="s">
        <v>408</v>
      </c>
      <c r="E14" s="9" t="s">
        <v>382</v>
      </c>
      <c r="F14" s="32"/>
      <c r="G14" s="32"/>
      <c r="H14" s="32"/>
      <c r="I14" s="32"/>
      <c r="J14" s="32"/>
      <c r="K14" s="32"/>
      <c r="L14" s="32"/>
    </row>
    <row r="15" customFormat="false" ht="15" hidden="false" customHeight="false" outlineLevel="0" collapsed="false">
      <c r="A15" s="8" t="s">
        <v>423</v>
      </c>
      <c r="B15" s="8" t="s">
        <v>420</v>
      </c>
      <c r="C15" s="9" t="s">
        <v>403</v>
      </c>
      <c r="D15" s="9" t="s">
        <v>410</v>
      </c>
      <c r="E15" s="9" t="s">
        <v>382</v>
      </c>
      <c r="F15" s="32"/>
      <c r="G15" s="32"/>
      <c r="H15" s="32"/>
      <c r="I15" s="32"/>
      <c r="J15" s="32"/>
      <c r="K15" s="32"/>
      <c r="L15" s="32"/>
    </row>
    <row r="16" customFormat="false" ht="15" hidden="false" customHeight="false" outlineLevel="0" collapsed="false">
      <c r="A16" s="8" t="s">
        <v>424</v>
      </c>
      <c r="B16" s="8" t="s">
        <v>420</v>
      </c>
      <c r="C16" s="9" t="s">
        <v>403</v>
      </c>
      <c r="D16" s="9" t="s">
        <v>412</v>
      </c>
      <c r="E16" s="9" t="s">
        <v>382</v>
      </c>
      <c r="F16" s="32"/>
      <c r="G16" s="32"/>
      <c r="H16" s="32"/>
      <c r="I16" s="32"/>
      <c r="J16" s="32"/>
      <c r="K16" s="32"/>
      <c r="L16" s="32"/>
    </row>
    <row r="17" customFormat="false" ht="15" hidden="false" customHeight="false" outlineLevel="0" collapsed="false">
      <c r="A17" s="8" t="s">
        <v>425</v>
      </c>
      <c r="B17" s="8" t="s">
        <v>420</v>
      </c>
      <c r="C17" s="9" t="s">
        <v>403</v>
      </c>
      <c r="D17" s="9" t="s">
        <v>414</v>
      </c>
      <c r="E17" s="9" t="s">
        <v>382</v>
      </c>
      <c r="F17" s="32"/>
      <c r="G17" s="32"/>
      <c r="H17" s="32"/>
      <c r="I17" s="32"/>
      <c r="J17" s="32"/>
      <c r="K17" s="32"/>
      <c r="L17" s="32"/>
    </row>
    <row r="18" customFormat="false" ht="15" hidden="false" customHeight="false" outlineLevel="0" collapsed="false">
      <c r="A18" s="8" t="s">
        <v>426</v>
      </c>
      <c r="B18" s="8" t="s">
        <v>420</v>
      </c>
      <c r="C18" s="9" t="s">
        <v>416</v>
      </c>
      <c r="D18" s="9" t="s">
        <v>417</v>
      </c>
      <c r="E18" s="9" t="s">
        <v>418</v>
      </c>
      <c r="F18" s="32"/>
      <c r="G18" s="32"/>
      <c r="H18" s="32"/>
      <c r="I18" s="32"/>
      <c r="J18" s="32"/>
      <c r="K18" s="32"/>
      <c r="L18" s="32"/>
    </row>
    <row r="19" customFormat="false" ht="15" hidden="false" customHeight="false" outlineLevel="0" collapsed="false">
      <c r="A19" s="8" t="s">
        <v>427</v>
      </c>
      <c r="B19" s="8" t="s">
        <v>420</v>
      </c>
      <c r="C19" s="9" t="s">
        <v>428</v>
      </c>
      <c r="D19" s="9" t="s">
        <v>429</v>
      </c>
      <c r="E19" s="9" t="s">
        <v>430</v>
      </c>
      <c r="F19" s="32"/>
      <c r="G19" s="32"/>
      <c r="H19" s="32"/>
      <c r="I19" s="32"/>
      <c r="J19" s="32"/>
      <c r="K19" s="32"/>
      <c r="L19" s="32"/>
    </row>
    <row r="20" customFormat="false" ht="15" hidden="false" customHeight="false" outlineLevel="0" collapsed="false">
      <c r="A20" s="8" t="s">
        <v>431</v>
      </c>
      <c r="B20" s="8" t="s">
        <v>432</v>
      </c>
      <c r="C20" s="9" t="s">
        <v>403</v>
      </c>
      <c r="D20" s="9" t="s">
        <v>404</v>
      </c>
      <c r="E20" s="9" t="s">
        <v>377</v>
      </c>
      <c r="F20" s="32"/>
      <c r="G20" s="32"/>
      <c r="H20" s="32"/>
      <c r="I20" s="32"/>
      <c r="J20" s="32"/>
      <c r="K20" s="32"/>
      <c r="L20" s="32"/>
    </row>
    <row r="21" customFormat="false" ht="15" hidden="false" customHeight="false" outlineLevel="0" collapsed="false">
      <c r="A21" s="8" t="s">
        <v>433</v>
      </c>
      <c r="B21" s="8" t="s">
        <v>432</v>
      </c>
      <c r="C21" s="9" t="s">
        <v>403</v>
      </c>
      <c r="D21" s="9" t="s">
        <v>406</v>
      </c>
      <c r="E21" s="9" t="s">
        <v>377</v>
      </c>
      <c r="F21" s="32"/>
      <c r="G21" s="32"/>
      <c r="H21" s="32"/>
      <c r="I21" s="32"/>
      <c r="J21" s="32"/>
      <c r="K21" s="32"/>
      <c r="L21" s="32"/>
    </row>
    <row r="22" customFormat="false" ht="15" hidden="false" customHeight="false" outlineLevel="0" collapsed="false">
      <c r="A22" s="8" t="s">
        <v>434</v>
      </c>
      <c r="B22" s="8" t="s">
        <v>432</v>
      </c>
      <c r="C22" s="9" t="s">
        <v>403</v>
      </c>
      <c r="D22" s="9" t="s">
        <v>408</v>
      </c>
      <c r="E22" s="9" t="s">
        <v>377</v>
      </c>
      <c r="F22" s="32"/>
      <c r="G22" s="32"/>
      <c r="H22" s="32"/>
      <c r="I22" s="32"/>
      <c r="J22" s="32"/>
      <c r="K22" s="32"/>
      <c r="L22" s="32"/>
    </row>
    <row r="23" customFormat="false" ht="15" hidden="false" customHeight="false" outlineLevel="0" collapsed="false">
      <c r="A23" s="8" t="s">
        <v>435</v>
      </c>
      <c r="B23" s="8" t="s">
        <v>432</v>
      </c>
      <c r="C23" s="9" t="s">
        <v>403</v>
      </c>
      <c r="D23" s="9" t="s">
        <v>410</v>
      </c>
      <c r="E23" s="9" t="s">
        <v>377</v>
      </c>
      <c r="F23" s="32"/>
      <c r="G23" s="32"/>
      <c r="H23" s="32"/>
      <c r="I23" s="32"/>
      <c r="J23" s="32"/>
      <c r="K23" s="32"/>
      <c r="L23" s="32"/>
    </row>
    <row r="24" customFormat="false" ht="15" hidden="false" customHeight="false" outlineLevel="0" collapsed="false">
      <c r="A24" s="8" t="s">
        <v>436</v>
      </c>
      <c r="B24" s="8" t="s">
        <v>432</v>
      </c>
      <c r="C24" s="9" t="s">
        <v>403</v>
      </c>
      <c r="D24" s="9" t="s">
        <v>412</v>
      </c>
      <c r="E24" s="9" t="s">
        <v>377</v>
      </c>
      <c r="F24" s="32"/>
      <c r="G24" s="32"/>
      <c r="H24" s="32"/>
      <c r="I24" s="32"/>
      <c r="J24" s="32"/>
      <c r="K24" s="32"/>
      <c r="L24" s="32"/>
    </row>
    <row r="25" customFormat="false" ht="15" hidden="false" customHeight="false" outlineLevel="0" collapsed="false">
      <c r="A25" s="8" t="s">
        <v>437</v>
      </c>
      <c r="B25" s="8" t="s">
        <v>432</v>
      </c>
      <c r="C25" s="9" t="s">
        <v>403</v>
      </c>
      <c r="D25" s="9" t="s">
        <v>414</v>
      </c>
      <c r="E25" s="9" t="s">
        <v>377</v>
      </c>
      <c r="F25" s="32"/>
      <c r="G25" s="32"/>
      <c r="H25" s="32"/>
      <c r="I25" s="32"/>
      <c r="J25" s="32"/>
      <c r="K25" s="32"/>
      <c r="L25" s="32"/>
    </row>
    <row r="26" customFormat="false" ht="15" hidden="false" customHeight="false" outlineLevel="0" collapsed="false">
      <c r="A26" s="8" t="s">
        <v>438</v>
      </c>
      <c r="B26" s="8" t="s">
        <v>432</v>
      </c>
      <c r="C26" s="9" t="s">
        <v>416</v>
      </c>
      <c r="D26" s="9" t="s">
        <v>417</v>
      </c>
      <c r="E26" s="9" t="s">
        <v>418</v>
      </c>
      <c r="F26" s="32"/>
      <c r="G26" s="32"/>
      <c r="H26" s="32"/>
      <c r="I26" s="32"/>
      <c r="J26" s="32"/>
      <c r="K26" s="32"/>
      <c r="L26" s="32"/>
    </row>
    <row r="27" customFormat="false" ht="15" hidden="false" customHeight="false" outlineLevel="0" collapsed="false">
      <c r="A27" s="8" t="s">
        <v>439</v>
      </c>
      <c r="B27" s="8" t="s">
        <v>440</v>
      </c>
      <c r="C27" s="9" t="s">
        <v>403</v>
      </c>
      <c r="D27" s="9" t="s">
        <v>404</v>
      </c>
      <c r="E27" s="9" t="s">
        <v>382</v>
      </c>
      <c r="F27" s="32"/>
      <c r="G27" s="32"/>
      <c r="H27" s="32"/>
      <c r="I27" s="32"/>
      <c r="J27" s="32"/>
      <c r="K27" s="32"/>
      <c r="L27" s="32"/>
    </row>
    <row r="28" customFormat="false" ht="15" hidden="false" customHeight="false" outlineLevel="0" collapsed="false">
      <c r="A28" s="8" t="s">
        <v>441</v>
      </c>
      <c r="B28" s="8" t="s">
        <v>440</v>
      </c>
      <c r="C28" s="9" t="s">
        <v>403</v>
      </c>
      <c r="D28" s="9" t="s">
        <v>406</v>
      </c>
      <c r="E28" s="9" t="s">
        <v>382</v>
      </c>
      <c r="F28" s="32"/>
      <c r="G28" s="32"/>
      <c r="H28" s="32"/>
      <c r="I28" s="32"/>
      <c r="J28" s="32"/>
      <c r="K28" s="32"/>
      <c r="L28" s="32"/>
    </row>
    <row r="29" customFormat="false" ht="15" hidden="false" customHeight="false" outlineLevel="0" collapsed="false">
      <c r="A29" s="8" t="s">
        <v>442</v>
      </c>
      <c r="B29" s="8" t="s">
        <v>440</v>
      </c>
      <c r="C29" s="9" t="s">
        <v>403</v>
      </c>
      <c r="D29" s="9" t="s">
        <v>408</v>
      </c>
      <c r="E29" s="9" t="s">
        <v>382</v>
      </c>
      <c r="F29" s="32"/>
      <c r="G29" s="32"/>
      <c r="H29" s="32"/>
      <c r="I29" s="32"/>
      <c r="J29" s="32"/>
      <c r="K29" s="32"/>
      <c r="L29" s="32"/>
    </row>
    <row r="30" customFormat="false" ht="15" hidden="false" customHeight="false" outlineLevel="0" collapsed="false">
      <c r="A30" s="8" t="s">
        <v>443</v>
      </c>
      <c r="B30" s="8" t="s">
        <v>440</v>
      </c>
      <c r="C30" s="9" t="s">
        <v>403</v>
      </c>
      <c r="D30" s="9" t="s">
        <v>410</v>
      </c>
      <c r="E30" s="9" t="s">
        <v>382</v>
      </c>
      <c r="F30" s="32"/>
      <c r="G30" s="32"/>
      <c r="H30" s="32"/>
      <c r="I30" s="32"/>
      <c r="J30" s="32"/>
      <c r="K30" s="32"/>
      <c r="L30" s="32"/>
    </row>
    <row r="31" customFormat="false" ht="15" hidden="false" customHeight="false" outlineLevel="0" collapsed="false">
      <c r="A31" s="8" t="s">
        <v>444</v>
      </c>
      <c r="B31" s="8" t="s">
        <v>440</v>
      </c>
      <c r="C31" s="9" t="s">
        <v>403</v>
      </c>
      <c r="D31" s="9" t="s">
        <v>412</v>
      </c>
      <c r="E31" s="9" t="s">
        <v>382</v>
      </c>
      <c r="F31" s="32"/>
      <c r="G31" s="32"/>
      <c r="H31" s="32"/>
      <c r="I31" s="32"/>
      <c r="J31" s="32"/>
      <c r="K31" s="32"/>
      <c r="L31" s="32"/>
    </row>
    <row r="32" customFormat="false" ht="15" hidden="false" customHeight="false" outlineLevel="0" collapsed="false">
      <c r="A32" s="8" t="s">
        <v>445</v>
      </c>
      <c r="B32" s="8" t="s">
        <v>440</v>
      </c>
      <c r="C32" s="9" t="s">
        <v>403</v>
      </c>
      <c r="D32" s="9" t="s">
        <v>414</v>
      </c>
      <c r="E32" s="9" t="s">
        <v>382</v>
      </c>
      <c r="F32" s="32"/>
      <c r="G32" s="32"/>
      <c r="H32" s="32"/>
      <c r="I32" s="32"/>
      <c r="J32" s="32"/>
      <c r="K32" s="32"/>
      <c r="L32" s="32"/>
    </row>
    <row r="33" customFormat="false" ht="15" hidden="false" customHeight="false" outlineLevel="0" collapsed="false">
      <c r="A33" s="8" t="s">
        <v>446</v>
      </c>
      <c r="B33" s="8" t="s">
        <v>440</v>
      </c>
      <c r="C33" s="9" t="s">
        <v>416</v>
      </c>
      <c r="D33" s="9" t="s">
        <v>417</v>
      </c>
      <c r="E33" s="9" t="s">
        <v>418</v>
      </c>
      <c r="F33" s="32"/>
      <c r="G33" s="32"/>
      <c r="H33" s="32"/>
      <c r="I33" s="32"/>
      <c r="J33" s="32"/>
      <c r="K33" s="32"/>
      <c r="L33" s="32"/>
    </row>
    <row r="34" customFormat="false" ht="15" hidden="false" customHeight="false" outlineLevel="0" collapsed="false">
      <c r="A34" s="8" t="s">
        <v>447</v>
      </c>
      <c r="B34" s="8" t="s">
        <v>440</v>
      </c>
      <c r="C34" s="9" t="s">
        <v>428</v>
      </c>
      <c r="D34" s="9" t="s">
        <v>429</v>
      </c>
      <c r="E34" s="9" t="s">
        <v>430</v>
      </c>
      <c r="F34" s="32"/>
      <c r="G34" s="32"/>
      <c r="H34" s="32"/>
      <c r="I34" s="32"/>
      <c r="J34" s="32"/>
      <c r="K34" s="32"/>
      <c r="L34" s="32"/>
    </row>
    <row r="35" customFormat="false" ht="15" hidden="false" customHeight="false" outlineLevel="0" collapsed="false">
      <c r="A35" s="8" t="s">
        <v>448</v>
      </c>
      <c r="B35" s="8" t="s">
        <v>440</v>
      </c>
      <c r="C35" s="9" t="s">
        <v>449</v>
      </c>
      <c r="D35" s="9" t="s">
        <v>450</v>
      </c>
      <c r="E35" s="9" t="s">
        <v>451</v>
      </c>
      <c r="F35" s="32"/>
      <c r="G35" s="32"/>
      <c r="H35" s="32"/>
      <c r="I35" s="32"/>
      <c r="J35" s="32"/>
      <c r="K35" s="32"/>
      <c r="L35" s="32"/>
    </row>
    <row r="37" customFormat="false" ht="15" hidden="false" customHeight="false" outlineLevel="0" collapsed="false">
      <c r="C37" s="6" t="s">
        <v>452</v>
      </c>
      <c r="D37" s="18" t="n">
        <f aca="false">COUNTA(A5:A35)</f>
        <v>31</v>
      </c>
    </row>
    <row r="38" customFormat="false" ht="15" hidden="false" customHeight="false" outlineLevel="0" collapsed="false">
      <c r="C38" s="6" t="s">
        <v>453</v>
      </c>
      <c r="D38" s="18" t="n">
        <f aca="false">COUNTIF(I5:I35,"Pass")</f>
        <v>0</v>
      </c>
    </row>
    <row r="39" customFormat="false" ht="15" hidden="false" customHeight="false" outlineLevel="0" collapsed="false">
      <c r="C39" s="6" t="s">
        <v>454</v>
      </c>
      <c r="D39" s="18" t="n">
        <f aca="false">COUNTIF(I5:I35,"Fail")</f>
        <v>0</v>
      </c>
    </row>
    <row r="40" customFormat="false" ht="23.85" hidden="false" customHeight="false" outlineLevel="0" collapsed="false">
      <c r="C40" s="6" t="s">
        <v>455</v>
      </c>
      <c r="D40" s="33" t="str">
        <f aca="false">IF(D38+D39=0,"No tests yet",D38/(D38+D39))</f>
        <v>No tests yet</v>
      </c>
    </row>
  </sheetData>
  <dataValidations count="1">
    <dataValidation allowBlank="true" errorStyle="stop" operator="between" showDropDown="false" showErrorMessage="false" showInputMessage="false" sqref="I5:I35"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130"/>
  </cols>
  <sheetData>
    <row r="1" customFormat="false" ht="17.35" hidden="false" customHeight="false" outlineLevel="0" collapsed="false">
      <c r="A1" s="1" t="s">
        <v>456</v>
      </c>
    </row>
    <row r="2" customFormat="false" ht="15" hidden="false" customHeight="false" outlineLevel="0" collapsed="false">
      <c r="A2" s="2" t="s">
        <v>457</v>
      </c>
    </row>
    <row r="4" customFormat="false" ht="25.5" hidden="false" customHeight="true" outlineLevel="0" collapsed="false">
      <c r="A4" s="4" t="s">
        <v>458</v>
      </c>
      <c r="B4" s="4" t="s">
        <v>130</v>
      </c>
      <c r="C4" s="4" t="s">
        <v>459</v>
      </c>
    </row>
    <row r="5" customFormat="false" ht="33.75" hidden="false" customHeight="true" outlineLevel="0" collapsed="false">
      <c r="A5" s="8" t="n">
        <v>1</v>
      </c>
      <c r="B5" s="6" t="s">
        <v>45</v>
      </c>
      <c r="C5" s="9" t="s">
        <v>460</v>
      </c>
    </row>
    <row r="6" customFormat="false" ht="33.75" hidden="false" customHeight="true" outlineLevel="0" collapsed="false">
      <c r="A6" s="8" t="n">
        <v>2</v>
      </c>
      <c r="B6" s="6" t="s">
        <v>461</v>
      </c>
      <c r="C6" s="9" t="s">
        <v>462</v>
      </c>
    </row>
    <row r="7" customFormat="false" ht="33.75" hidden="false" customHeight="true" outlineLevel="0" collapsed="false">
      <c r="A7" s="8" t="n">
        <v>3</v>
      </c>
      <c r="B7" s="6" t="s">
        <v>463</v>
      </c>
      <c r="C7" s="9" t="s">
        <v>464</v>
      </c>
    </row>
    <row r="8" customFormat="false" ht="33.75" hidden="false" customHeight="true" outlineLevel="0" collapsed="false">
      <c r="A8" s="8" t="n">
        <v>4</v>
      </c>
      <c r="B8" s="6" t="s">
        <v>465</v>
      </c>
      <c r="C8" s="9" t="s">
        <v>466</v>
      </c>
    </row>
    <row r="9" customFormat="false" ht="33.75" hidden="false" customHeight="true" outlineLevel="0" collapsed="false">
      <c r="A9" s="8" t="n">
        <v>5</v>
      </c>
      <c r="B9" s="6" t="s">
        <v>465</v>
      </c>
      <c r="C9" s="9" t="s">
        <v>467</v>
      </c>
    </row>
    <row r="10" customFormat="false" ht="33.75" hidden="false" customHeight="true" outlineLevel="0" collapsed="false">
      <c r="A10" s="8" t="n">
        <v>6</v>
      </c>
      <c r="B10" s="6" t="s">
        <v>468</v>
      </c>
      <c r="C10" s="9" t="s">
        <v>469</v>
      </c>
    </row>
    <row r="11" customFormat="false" ht="33.75" hidden="false" customHeight="true" outlineLevel="0" collapsed="false">
      <c r="A11" s="8" t="n">
        <v>7</v>
      </c>
      <c r="B11" s="6" t="s">
        <v>468</v>
      </c>
      <c r="C11" s="9" t="s">
        <v>470</v>
      </c>
    </row>
    <row r="12" customFormat="false" ht="33.75" hidden="false" customHeight="true" outlineLevel="0" collapsed="false">
      <c r="A12" s="8" t="n">
        <v>8</v>
      </c>
      <c r="B12" s="6" t="s">
        <v>471</v>
      </c>
      <c r="C12" s="9" t="s">
        <v>472</v>
      </c>
    </row>
    <row r="13" customFormat="false" ht="33.75" hidden="false" customHeight="true" outlineLevel="0" collapsed="false">
      <c r="A13" s="8" t="n">
        <v>9</v>
      </c>
      <c r="B13" s="6" t="s">
        <v>473</v>
      </c>
      <c r="C13" s="9" t="s">
        <v>474</v>
      </c>
    </row>
    <row r="14" customFormat="false" ht="33.75" hidden="false" customHeight="true" outlineLevel="0" collapsed="false">
      <c r="A14" s="8" t="n">
        <v>10</v>
      </c>
      <c r="B14" s="6" t="s">
        <v>475</v>
      </c>
      <c r="C14" s="9" t="s">
        <v>476</v>
      </c>
    </row>
    <row r="15" customFormat="false" ht="33.75" hidden="false" customHeight="true" outlineLevel="0" collapsed="false">
      <c r="A15" s="8" t="n">
        <v>11</v>
      </c>
      <c r="B15" s="6" t="s">
        <v>477</v>
      </c>
      <c r="C15" s="9" t="s">
        <v>478</v>
      </c>
    </row>
    <row r="16" customFormat="false" ht="33.75" hidden="false" customHeight="true" outlineLevel="0" collapsed="false">
      <c r="A16" s="8" t="n">
        <v>12</v>
      </c>
      <c r="B16" s="6" t="s">
        <v>479</v>
      </c>
      <c r="C16" s="9" t="s">
        <v>480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2026-09-28T08:31:54Z</dcterms:created>
  <dc:creator>openpyxl</dc:creator>
  <dc:description/>
  <dc:language>en-US</dc:language>
  <cp:lastModifiedBy/>
  <dcterms:modified xsi:type="dcterms:W3CDTF">2026-09-28T08:31:54Z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