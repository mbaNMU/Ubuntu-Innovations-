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ware Inventory" sheetId="1" state="visible" r:id="rId3"/>
    <sheet name="Port Check" sheetId="2" state="visible" r:id="rId4"/>
    <sheet name="Change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<sst xmlns="http://schemas.openxmlformats.org/spreadsheetml/2006/main" count="178" uniqueCount="166">
  <si>
    <t xml:space="preserve">Ubuntu Innovations (Pty) Ltd — Hardware Inventory</t>
  </si>
  <si>
    <t xml:space="preserve">Prepared by: Luthando | Week 1 Deliverable | Google IT Support Professional Certificate Capstone | Version 2: brand and model added</t>
  </si>
  <si>
    <t xml:space="preserve">Yellow cells = changed from the first version (see 'Change Log'). Blue text = editable input. Alternatives are indicative: confirm availability with a South African supplier before ordering.</t>
  </si>
  <si>
    <t xml:space="preserve">Asset</t>
  </si>
  <si>
    <t xml:space="preserve">Quantity</t>
  </si>
  <si>
    <t xml:space="preserve">Brand</t>
  </si>
  <si>
    <t xml:space="preserve">Model / Part No.</t>
  </si>
  <si>
    <t xml:space="preserve">Suggested Specification</t>
  </si>
  <si>
    <t xml:space="preserve">Business Justification</t>
  </si>
  <si>
    <t xml:space="preserve">Alternative (Brand / Model)</t>
  </si>
  <si>
    <t xml:space="preserve">Notes / Compatibility</t>
  </si>
  <si>
    <t xml:space="preserve">Desktop Computers</t>
  </si>
  <si>
    <t xml:space="preserve">Lenovo</t>
  </si>
  <si>
    <t xml:space="preserve">ThinkCentre M70s Gen 5 (small form factor)</t>
  </si>
  <si>
    <t xml:space="preserve">Intel Core i5-14400 (10 cores), 16GB DDR5, 512GB NVMe SSD (self-encrypting, Opal 2.0), TPM 2.0, Gigabit Ethernet, Windows 11 Pro</t>
  </si>
  <si>
    <t xml:space="preserve">General office use for on-site staff across all five departments</t>
  </si>
  <si>
    <t xml:space="preserve">HP ProDesk 400 G9 SFF (or current-generation equivalent)</t>
  </si>
  <si>
    <t xml:space="preserve">Exact part number differs by region: ask the SA reseller for the local SKU. Optional: give the 8 developers 32GB RAM (i7 variant). Gen 5 is a 2024 model; a newer generation may be the one in stock.</t>
  </si>
  <si>
    <t xml:space="preserve">Laptops</t>
  </si>
  <si>
    <t xml:space="preserve">ThinkPad T14 Gen 5 (Intel)</t>
  </si>
  <si>
    <t xml:space="preserve">Intel Core Ultra 7 155U, 16GB RAM, 512GB SSD, 14" WUXGA, Wi-Fi 6E, fingerprint reader + IR camera, Windows 11 Pro</t>
  </si>
  <si>
    <t xml:space="preserve">Mobility for management and field staff who need remote/on-the-go access (3 Executive + 2 Sales)</t>
  </si>
  <si>
    <t xml:space="preserve">HP EliteBook 640 G11</t>
  </si>
  <si>
    <t xml:space="preserve">Intel now brands this tier 'Core Ultra 7' instead of 'Core i7': same class as the brief's i7. Pair with USB-C docking stations (see additional items).</t>
  </si>
  <si>
    <t xml:space="preserve">Router / Firewall</t>
  </si>
  <si>
    <t xml:space="preserve">Cisco (Meraki)</t>
  </si>
  <si>
    <t xml:space="preserve">MX68 (part no. MX68-HW)</t>
  </si>
  <si>
    <t xml:space="preserve">Dual WAN (2 x GbE), 10 x GbE LAN (2 PoE+), stateful firewall, VLANs, DHCP, client VPN (IPsec), site-to-site Auto VPN, USB cellular failover, sized for up to 50 users</t>
  </si>
  <si>
    <t xml:space="preserve">Provides secure internet connectivity and perimeter protection for the office</t>
  </si>
  <si>
    <t xml:space="preserve">Cisco Meraki MX75 (1 Gbps firewall, up to 200 users, 3 WAN); non-subscription option: Fortinet FortiGate 60F</t>
  </si>
  <si>
    <t xml:space="preserve">Cloud-managed via Meraki Dashboard. IPS, content filtering and malware protection need the Advanced Security licence, and the device needs an active licence to keep working (see Software Inventory).</t>
  </si>
  <si>
    <t xml:space="preserve">Managed Switch</t>
  </si>
  <si>
    <t xml:space="preserve">Cisco</t>
  </si>
  <si>
    <t xml:space="preserve">Catalyst C1200-48P-4G</t>
  </si>
  <si>
    <t xml:space="preserve">48 x Gigabit PoE+ ports, 4 x 1G SFP uplinks, 375W PoE budget, VLANs (up to 255), 802.1X, ACLs, static routing, no licence needed</t>
  </si>
  <si>
    <t xml:space="preserve">Internal wired networking and VLAN segmentation (servers/users/printers/Wi-Fi); PoE powers the access points</t>
  </si>
  <si>
    <t xml:space="preserve">2 x Cisco Catalyst C1200-24P-4G (24-port each)</t>
  </si>
  <si>
    <t xml:space="preserve">CHANGED from 24-port: 26 wired ports are needed (31 with docked laptops), so 24 ports is too small. See 'Port Check' sheet.</t>
  </si>
  <si>
    <t xml:space="preserve">Wireless Access Points</t>
  </si>
  <si>
    <t xml:space="preserve">Business Wireless 150AX (CBW150AX)</t>
  </si>
  <si>
    <t xml:space="preserve">Wi-Fi 6 (802.11ax), dual-band 2.4/5 GHz, PoE powered, ceiling mount, WPA3, managed via Cisco Business app or web UI</t>
  </si>
  <si>
    <t xml:space="preserve">Office-wide wireless coverage for staff and guest connectivity</t>
  </si>
  <si>
    <t xml:space="preserve">TP-Link Omada EAP650 (lower cost)</t>
  </si>
  <si>
    <t xml:space="preserve">One AP acts as the primary AP for the pair. Order the regional variant approved for South Africa (ask the supplier). Confirm coverage with a site survey.</t>
  </si>
  <si>
    <t xml:space="preserve">Network Printers (colour)</t>
  </si>
  <si>
    <t xml:space="preserve">HP</t>
  </si>
  <si>
    <t xml:space="preserve">Color LaserJet Pro MFP 4303fdw (5HH67A)</t>
  </si>
  <si>
    <t xml:space="preserve">A4 colour laser multifunction, duplex, 50-sheet ADF, Gigabit Ethernet, up to 35 ppm</t>
  </si>
  <si>
    <t xml:space="preserve">Shared colour printing for Sales and Marketing and general use</t>
  </si>
  <si>
    <t xml:space="preserve">Brother MFC-L8390CDW</t>
  </si>
  <si>
    <t xml:space="preserve">Use the wired Ethernet port and switch off the built-in Wi-Fi (security). HP 'Dynamic Security' models only accept toner with genuine HP chips.</t>
  </si>
  <si>
    <t xml:space="preserve">Network Printers (mono)</t>
  </si>
  <si>
    <t xml:space="preserve">LaserJet Pro MFP 4103fdw (2Z629A)</t>
  </si>
  <si>
    <t xml:space="preserve">A4 mono laser multifunction, duplex, 50-sheet ADF, Gigabit Ethernet, up to 40 ppm</t>
  </si>
  <si>
    <t xml:space="preserve">Low-cost shared printing for Finance/HR documents; place near Finance and HR</t>
  </si>
  <si>
    <t xml:space="preserve">Brother MFC-L5710DW (or equivalent mono MFP)</t>
  </si>
  <si>
    <t xml:space="preserve">Same as above: wired Ethernet, Wi-Fi off. Reserve fixed IP addresses in 192.168.30.0/24.</t>
  </si>
  <si>
    <t xml:space="preserve">NAS Device</t>
  </si>
  <si>
    <t xml:space="preserve">Synology</t>
  </si>
  <si>
    <t xml:space="preserve">DiskStation DS925+ with 2 x Synology HAT3320-8T</t>
  </si>
  <si>
    <t xml:space="preserve">4-bay NAS (AMD Ryzen V1500B, 4GB ECC RAM), 2 x 2.5GbE with link aggregation, 2 x 8TB drives in RAID 1 = 8TB usable, 2 bays free for growth</t>
  </si>
  <si>
    <t xml:space="preserve">Centralised shared file storage and backup target for disaster recovery</t>
  </si>
  <si>
    <t xml:space="preserve">Synology DS425+ (4-bay) or DS224+ (2-bay)</t>
  </si>
  <si>
    <t xml:space="preserve">Some retailers list the DS925+ as 'Synology drives only', so buy the Synology-branded HAT3320 drives and check the current compatibility list. RAID is not a backup: add an offsite cloud copy.</t>
  </si>
  <si>
    <t xml:space="preserve">UPS</t>
  </si>
  <si>
    <t xml:space="preserve">APC</t>
  </si>
  <si>
    <t xml:space="preserve">Back-UPS Pro BR1500GI</t>
  </si>
  <si>
    <t xml:space="preserve">1500VA / 865W, 230V, line-interactive with AVR, LCD, USB port for graceful shutdown, 10 IEC outlets</t>
  </si>
  <si>
    <t xml:space="preserve">Power protection for critical network equipment and the NAS during outages</t>
  </si>
  <si>
    <t xml:space="preserve">APC Smart-UPS SMC1500I-2UC (rackmount, true sine wave)</t>
  </si>
  <si>
    <t xml:space="preserve">UPS-A: ONT, router, switch (and PoE APs). UPS-B: NAS. Tower unit: place beside the cabinet, or choose the rackmount alternative if it must sit inside.</t>
  </si>
  <si>
    <t xml:space="preserve">ADDITIONAL ITEMS REQUIRED (NOT IN THE BRIEF)</t>
  </si>
  <si>
    <t xml:space="preserve">Monitors</t>
  </si>
  <si>
    <t xml:space="preserve">Dell</t>
  </si>
  <si>
    <t xml:space="preserve">P2425H (24-inch)</t>
  </si>
  <si>
    <t xml:space="preserve">23.8" Full HD 1920x1080 IPS, 100Hz, HDMI/DisplayPort/VGA, height-adjustable stand, USB hub</t>
  </si>
  <si>
    <t xml:space="preserve">One display per desktop and per docked laptop</t>
  </si>
  <si>
    <t xml:space="preserve">Lenovo ThinkVision T24i (or equivalent)</t>
  </si>
  <si>
    <t xml:space="preserve">Desktops have no display included.</t>
  </si>
  <si>
    <t xml:space="preserve">USB-C Docking Stations</t>
  </si>
  <si>
    <t xml:space="preserve">ThinkPad USB-C dock (model to match the T14 Gen 5)</t>
  </si>
  <si>
    <t xml:space="preserve">USB-C dock with power delivery, video out, Gigabit Ethernet, USB ports</t>
  </si>
  <si>
    <t xml:space="preserve">Laptops connect to a monitor, keyboard and the wired network at the desk</t>
  </si>
  <si>
    <t xml:space="preserve">HP/Dell dock matching the chosen laptop</t>
  </si>
  <si>
    <t xml:space="preserve">Model must be confirmed against the laptop at quoting.</t>
  </si>
  <si>
    <t xml:space="preserve">Wall-mount Network Cabinet</t>
  </si>
  <si>
    <t xml:space="preserve">To be confirmed at quoting</t>
  </si>
  <si>
    <t xml:space="preserve">12U wall-mount data cabinet</t>
  </si>
  <si>
    <t xml:space="preserve">12U, lockable, ventilated, cable management</t>
  </si>
  <si>
    <t xml:space="preserve">Houses router, switch, NAS and patch panel securely</t>
  </si>
  <si>
    <t xml:space="preserve">-</t>
  </si>
  <si>
    <t xml:space="preserve">A tower UPS sits next to it. Choose a floor-standing cabinet if rack UPS units are used.</t>
  </si>
  <si>
    <t xml:space="preserve">Patch Panel</t>
  </si>
  <si>
    <t xml:space="preserve">48-port Cat6 patch panel</t>
  </si>
  <si>
    <t xml:space="preserve">48-port Cat6 UTP, labelled</t>
  </si>
  <si>
    <t xml:space="preserve">Structured, labelled wiring for easier troubleshooting</t>
  </si>
  <si>
    <t xml:space="preserve">Match port labels to the cable schedule.</t>
  </si>
  <si>
    <t xml:space="preserve">Structured cabling (installed data points)</t>
  </si>
  <si>
    <t xml:space="preserve">Installer supplied</t>
  </si>
  <si>
    <t xml:space="preserve">Cat6 UTP, tested and certified</t>
  </si>
  <si>
    <t xml:space="preserve">About 30 points: 25 desks + 2 printers + 2 APs + 1 spare</t>
  </si>
  <si>
    <t xml:space="preserve">Wired connections to every desk, printer and AP</t>
  </si>
  <si>
    <t xml:space="preserve">Get a written quote from a certified installer.</t>
  </si>
  <si>
    <t xml:space="preserve">LTE / 5G failover</t>
  </si>
  <si>
    <t xml:space="preserve">Supported USB modem or Meraki cellular gateway</t>
  </si>
  <si>
    <t xml:space="preserve">Backup internet link connected to the router's second WAN/USB port with a data SIM</t>
  </si>
  <si>
    <t xml:space="preserve">Keeps the office online if the fibre line fails</t>
  </si>
  <si>
    <t xml:space="preserve">MX68 only supports certain USB modems: check Meraki's compatibility list first.</t>
  </si>
  <si>
    <t xml:space="preserve">Endpoint check (desktops + laptops must equal 25 employees):</t>
  </si>
  <si>
    <t xml:space="preserve">Note: Quantities assume 25 employees, one primary device each (20 desk-based staff + 5 laptops: 3 Executive Management + 2 field sales), aligned with the Business Requirements Analysis. Confirm with team before finalising. Brand and model choices are recommendations based on manufacturer specifications; pricing must come from South African supplier quotes.</t>
  </si>
  <si>
    <t xml:space="preserve">Switch Port Check</t>
  </si>
  <si>
    <t xml:space="preserve">Green = read from the Hardware Inventory sheet; blue = inputs.</t>
  </si>
  <si>
    <t xml:space="preserve">Wired device</t>
  </si>
  <si>
    <t xml:space="preserve">Ports each</t>
  </si>
  <si>
    <t xml:space="preserve">Ports required</t>
  </si>
  <si>
    <t xml:space="preserve">Desktop computers</t>
  </si>
  <si>
    <t xml:space="preserve">Network printers</t>
  </si>
  <si>
    <t xml:space="preserve">NAS (one link; two if link aggregation is used)</t>
  </si>
  <si>
    <t xml:space="preserve">Wireless access points (PoE)</t>
  </si>
  <si>
    <t xml:space="preserve">Router uplink</t>
  </si>
  <si>
    <t xml:space="preserve">Scenario A: minimum wired ports</t>
  </si>
  <si>
    <t xml:space="preserve">Laptops on docking stations (wired)</t>
  </si>
  <si>
    <t xml:space="preserve">Scenario B: with docked laptops</t>
  </si>
  <si>
    <t xml:space="preserve">Growth headroom (20%)</t>
  </si>
  <si>
    <t xml:space="preserve">Scenario B plus headroom (rounded up)</t>
  </si>
  <si>
    <t xml:space="preserve">Brief baseline: 24-port switch</t>
  </si>
  <si>
    <t xml:space="preserve">Recommended: 48-port switch</t>
  </si>
  <si>
    <t xml:space="preserve">24-port switch, Scenario A</t>
  </si>
  <si>
    <t xml:space="preserve">24-port switch, Scenario B + headroom</t>
  </si>
  <si>
    <t xml:space="preserve">48-port switch, Scenario B + headroom</t>
  </si>
  <si>
    <t xml:space="preserve">Conclusion: a single 24-port switch cannot serve the office. The Cisco Catalyst C1200-48P-4G (48 ports, 375W PoE) covers all wired devices with spare ports; two 24-port switches are the fallback.</t>
  </si>
  <si>
    <t xml:space="preserve">Change Log: what changed from your first version</t>
  </si>
  <si>
    <t xml:space="preserve">Item</t>
  </si>
  <si>
    <t xml:space="preserve">First version</t>
  </si>
  <si>
    <t xml:space="preserve">This version</t>
  </si>
  <si>
    <t xml:space="preserve">Reason</t>
  </si>
  <si>
    <t xml:space="preserve">Brand / Model columns</t>
  </si>
  <si>
    <t xml:space="preserve">Not included</t>
  </si>
  <si>
    <t xml:space="preserve">Added for every item, plus an alternative and compatibility notes</t>
  </si>
  <si>
    <t xml:space="preserve">Requested by the networking team members.</t>
  </si>
  <si>
    <t xml:space="preserve">Managed switch</t>
  </si>
  <si>
    <t xml:space="preserve">1 x 24-port Gigabit managed</t>
  </si>
  <si>
    <t xml:space="preserve">1 x Cisco Catalyst C1200-48P-4G (48-port PoE+)</t>
  </si>
  <si>
    <t xml:space="preserve">26 to 31 wired ports are needed; 24 is not enough. PoE also powers the access points.</t>
  </si>
  <si>
    <t xml:space="preserve">Router / firewall</t>
  </si>
  <si>
    <t xml:space="preserve">Business-grade firewall router</t>
  </si>
  <si>
    <t xml:space="preserve">Cisco Meraki MX68</t>
  </si>
  <si>
    <t xml:space="preserve">Cisco-based design as requested; needs a licence, which is listed in the Software Inventory.</t>
  </si>
  <si>
    <t xml:space="preserve">Laptop allocation</t>
  </si>
  <si>
    <t xml:space="preserve">5 management laptops</t>
  </si>
  <si>
    <t xml:space="preserve">3 Executive + 2 field sales</t>
  </si>
  <si>
    <t xml:space="preserve">Management has only 3 people. Confirm with Sinalo's Business Requirements Analysis.</t>
  </si>
  <si>
    <t xml:space="preserve">2 laser printers</t>
  </si>
  <si>
    <t xml:space="preserve">1 colour MFP + 1 mono MFP (both HP)</t>
  </si>
  <si>
    <t xml:space="preserve">Controls running costs; colour only where needed.</t>
  </si>
  <si>
    <t xml:space="preserve">NAS</t>
  </si>
  <si>
    <t xml:space="preserve">8TB RAID storage</t>
  </si>
  <si>
    <t xml:space="preserve">Synology DS925+ with 2 x 8TB in RAID 1 (8TB usable)</t>
  </si>
  <si>
    <t xml:space="preserve">Meets the brief's 8TB and leaves 2 bays for growth.</t>
  </si>
  <si>
    <t xml:space="preserve">Additional items</t>
  </si>
  <si>
    <t xml:space="preserve">None</t>
  </si>
  <si>
    <t xml:space="preserve">Monitors, docks, cabinet, patch panel, cabling, LTE failover</t>
  </si>
  <si>
    <t xml:space="preserve">Needed for a working installation but missing from the brief.</t>
  </si>
  <si>
    <t xml:space="preserve">Endpoint check and Port Check</t>
  </si>
  <si>
    <t xml:space="preserve">Formula checks added</t>
  </si>
  <si>
    <t xml:space="preserve">Shows the numbers add up (25 endpoints; ports needed vs available).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</si>
</sst>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5.05" hidden="false" customHeight="false" outlineLevel="0" collapsed="false">
      <c r="A6" s="5" t="s">
        <v>11</v>
      </c>
      <c r="B6" s="6" t="n">
        <v>20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</row>
    <row r="7" customFormat="false" ht="35.05" hidden="false" customHeight="false" outlineLevel="0" collapsed="false">
      <c r="A7" s="5" t="s">
        <v>18</v>
      </c>
      <c r="B7" s="6" t="n">
        <v>5</v>
      </c>
      <c r="C7" s="5" t="s">
        <v>12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customFormat="false" ht="35.05" hidden="false" customHeight="false" outlineLevel="0" collapsed="false">
      <c r="A8" s="5" t="s">
        <v>24</v>
      </c>
      <c r="B8" s="6" t="n">
        <v>1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29</v>
      </c>
      <c r="H8" s="5" t="s">
        <v>30</v>
      </c>
    </row>
    <row r="9" customFormat="false" ht="35.05" hidden="false" customHeight="false" outlineLevel="0" collapsed="false">
      <c r="A9" s="5" t="s">
        <v>31</v>
      </c>
      <c r="B9" s="6" t="n">
        <v>1</v>
      </c>
      <c r="C9" s="5" t="s">
        <v>32</v>
      </c>
      <c r="D9" s="7" t="s">
        <v>33</v>
      </c>
      <c r="E9" s="7" t="s">
        <v>34</v>
      </c>
      <c r="F9" s="7" t="s">
        <v>35</v>
      </c>
      <c r="G9" s="5" t="s">
        <v>36</v>
      </c>
      <c r="H9" s="7" t="s">
        <v>37</v>
      </c>
    </row>
    <row r="10" customFormat="false" ht="35.05" hidden="false" customHeight="false" outlineLevel="0" collapsed="false">
      <c r="A10" s="5" t="s">
        <v>38</v>
      </c>
      <c r="B10" s="6" t="n">
        <v>2</v>
      </c>
      <c r="C10" s="5" t="s">
        <v>32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</row>
    <row r="11" customFormat="false" ht="23.85" hidden="false" customHeight="false" outlineLevel="0" collapsed="false">
      <c r="A11" s="5" t="s">
        <v>44</v>
      </c>
      <c r="B11" s="6" t="n">
        <v>1</v>
      </c>
      <c r="C11" s="5" t="s">
        <v>45</v>
      </c>
      <c r="D11" s="5" t="s">
        <v>46</v>
      </c>
      <c r="E11" s="5" t="s">
        <v>47</v>
      </c>
      <c r="F11" s="5" t="s">
        <v>48</v>
      </c>
      <c r="G11" s="5" t="s">
        <v>49</v>
      </c>
      <c r="H11" s="5" t="s">
        <v>50</v>
      </c>
    </row>
    <row r="12" customFormat="false" ht="23.85" hidden="false" customHeight="false" outlineLevel="0" collapsed="false">
      <c r="A12" s="5" t="s">
        <v>51</v>
      </c>
      <c r="B12" s="6" t="n">
        <v>1</v>
      </c>
      <c r="C12" s="5" t="s">
        <v>45</v>
      </c>
      <c r="D12" s="5" t="s">
        <v>52</v>
      </c>
      <c r="E12" s="5" t="s">
        <v>53</v>
      </c>
      <c r="F12" s="5" t="s">
        <v>54</v>
      </c>
      <c r="G12" s="5" t="s">
        <v>55</v>
      </c>
      <c r="H12" s="5" t="s">
        <v>56</v>
      </c>
    </row>
    <row r="13" customFormat="false" ht="35.05" hidden="false" customHeight="false" outlineLevel="0" collapsed="false">
      <c r="A13" s="5" t="s">
        <v>57</v>
      </c>
      <c r="B13" s="6" t="n">
        <v>1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62</v>
      </c>
      <c r="H13" s="5" t="s">
        <v>63</v>
      </c>
    </row>
    <row r="14" customFormat="false" ht="35.05" hidden="false" customHeight="false" outlineLevel="0" collapsed="false">
      <c r="A14" s="5" t="s">
        <v>64</v>
      </c>
      <c r="B14" s="6" t="n">
        <v>2</v>
      </c>
      <c r="C14" s="5" t="s">
        <v>65</v>
      </c>
      <c r="D14" s="5" t="s">
        <v>66</v>
      </c>
      <c r="E14" s="5" t="s">
        <v>67</v>
      </c>
      <c r="F14" s="5" t="s">
        <v>68</v>
      </c>
      <c r="G14" s="5" t="s">
        <v>69</v>
      </c>
      <c r="H14" s="5" t="s">
        <v>70</v>
      </c>
    </row>
    <row r="16" customFormat="false" ht="15" hidden="false" customHeight="false" outlineLevel="0" collapsed="false">
      <c r="A16" s="8" t="s">
        <v>71</v>
      </c>
      <c r="B16" s="9"/>
      <c r="C16" s="9"/>
      <c r="D16" s="9"/>
      <c r="E16" s="9"/>
      <c r="F16" s="9"/>
      <c r="G16" s="9"/>
      <c r="H16" s="9"/>
    </row>
    <row r="17" customFormat="false" ht="23.85" hidden="false" customHeight="false" outlineLevel="0" collapsed="false">
      <c r="A17" s="5" t="s">
        <v>72</v>
      </c>
      <c r="B17" s="6" t="n">
        <v>25</v>
      </c>
      <c r="C17" s="5" t="s">
        <v>73</v>
      </c>
      <c r="D17" s="5" t="s">
        <v>74</v>
      </c>
      <c r="E17" s="5" t="s">
        <v>75</v>
      </c>
      <c r="F17" s="5" t="s">
        <v>76</v>
      </c>
      <c r="G17" s="5" t="s">
        <v>77</v>
      </c>
      <c r="H17" s="5" t="s">
        <v>78</v>
      </c>
    </row>
    <row r="18" customFormat="false" ht="23.85" hidden="false" customHeight="false" outlineLevel="0" collapsed="false">
      <c r="A18" s="5" t="s">
        <v>79</v>
      </c>
      <c r="B18" s="6" t="n">
        <v>5</v>
      </c>
      <c r="C18" s="5" t="s">
        <v>12</v>
      </c>
      <c r="D18" s="5" t="s">
        <v>80</v>
      </c>
      <c r="E18" s="5" t="s">
        <v>81</v>
      </c>
      <c r="F18" s="5" t="s">
        <v>82</v>
      </c>
      <c r="G18" s="5" t="s">
        <v>83</v>
      </c>
      <c r="H18" s="5" t="s">
        <v>84</v>
      </c>
    </row>
    <row r="19" customFormat="false" ht="23.85" hidden="false" customHeight="false" outlineLevel="0" collapsed="false">
      <c r="A19" s="5" t="s">
        <v>85</v>
      </c>
      <c r="B19" s="6" t="n">
        <v>1</v>
      </c>
      <c r="C19" s="5" t="s">
        <v>86</v>
      </c>
      <c r="D19" s="5" t="s">
        <v>87</v>
      </c>
      <c r="E19" s="5" t="s">
        <v>88</v>
      </c>
      <c r="F19" s="5" t="s">
        <v>89</v>
      </c>
      <c r="G19" s="5" t="s">
        <v>90</v>
      </c>
      <c r="H19" s="5" t="s">
        <v>91</v>
      </c>
    </row>
    <row r="20" customFormat="false" ht="23.85" hidden="false" customHeight="false" outlineLevel="0" collapsed="false">
      <c r="A20" s="5" t="s">
        <v>92</v>
      </c>
      <c r="B20" s="6" t="n">
        <v>1</v>
      </c>
      <c r="C20" s="5" t="s">
        <v>86</v>
      </c>
      <c r="D20" s="5" t="s">
        <v>93</v>
      </c>
      <c r="E20" s="5" t="s">
        <v>94</v>
      </c>
      <c r="F20" s="5" t="s">
        <v>95</v>
      </c>
      <c r="G20" s="5" t="s">
        <v>90</v>
      </c>
      <c r="H20" s="5" t="s">
        <v>96</v>
      </c>
    </row>
    <row r="21" customFormat="false" ht="23.85" hidden="false" customHeight="false" outlineLevel="0" collapsed="false">
      <c r="A21" s="5" t="s">
        <v>97</v>
      </c>
      <c r="B21" s="6" t="n">
        <v>30</v>
      </c>
      <c r="C21" s="5" t="s">
        <v>98</v>
      </c>
      <c r="D21" s="5" t="s">
        <v>99</v>
      </c>
      <c r="E21" s="5" t="s">
        <v>100</v>
      </c>
      <c r="F21" s="5" t="s">
        <v>101</v>
      </c>
      <c r="G21" s="5" t="s">
        <v>90</v>
      </c>
      <c r="H21" s="5" t="s">
        <v>102</v>
      </c>
    </row>
    <row r="22" customFormat="false" ht="23.85" hidden="false" customHeight="false" outlineLevel="0" collapsed="false">
      <c r="A22" s="5" t="s">
        <v>103</v>
      </c>
      <c r="B22" s="6" t="n">
        <v>1</v>
      </c>
      <c r="C22" s="5" t="s">
        <v>86</v>
      </c>
      <c r="D22" s="5" t="s">
        <v>104</v>
      </c>
      <c r="E22" s="5" t="s">
        <v>105</v>
      </c>
      <c r="F22" s="5" t="s">
        <v>106</v>
      </c>
      <c r="G22" s="5" t="s">
        <v>90</v>
      </c>
      <c r="H22" s="5" t="s">
        <v>107</v>
      </c>
    </row>
    <row r="24" customFormat="false" ht="15" hidden="false" customHeight="false" outlineLevel="0" collapsed="false">
      <c r="A24" s="10" t="s">
        <v>108</v>
      </c>
      <c r="E24" s="10" t="str">
        <f aca="false">IF(B6+B7=25,"OK: 25 endpoints","CHECK")</f>
        <v>OK: 25 endpoints</v>
      </c>
    </row>
    <row r="26" customFormat="false" ht="15" hidden="false" customHeight="false" outlineLevel="0" collapsed="false">
      <c r="A26" s="1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2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27.75" hidden="false" customHeight="true" outlineLevel="0" collapsed="false">
      <c r="A4" s="4" t="s">
        <v>112</v>
      </c>
      <c r="B4" s="4" t="s">
        <v>113</v>
      </c>
      <c r="C4" s="4" t="s">
        <v>4</v>
      </c>
      <c r="D4" s="4" t="s">
        <v>114</v>
      </c>
    </row>
    <row r="5" customFormat="false" ht="15" hidden="false" customHeight="false" outlineLevel="0" collapsed="false">
      <c r="A5" s="12" t="s">
        <v>115</v>
      </c>
      <c r="B5" s="13" t="n">
        <v>1</v>
      </c>
      <c r="C5" s="14" t="n">
        <f aca="false">'Hardware Inventory'!B6</f>
        <v>20</v>
      </c>
      <c r="D5" s="15" t="n">
        <f aca="false">B5*C5</f>
        <v>20</v>
      </c>
    </row>
    <row r="6" customFormat="false" ht="15" hidden="false" customHeight="false" outlineLevel="0" collapsed="false">
      <c r="A6" s="12" t="s">
        <v>116</v>
      </c>
      <c r="B6" s="13" t="n">
        <v>1</v>
      </c>
      <c r="C6" s="14" t="n">
        <f aca="false">'Hardware Inventory'!B11+'Hardware Inventory'!B12</f>
        <v>2</v>
      </c>
      <c r="D6" s="15" t="n">
        <f aca="false">B6*C6</f>
        <v>2</v>
      </c>
    </row>
    <row r="7" customFormat="false" ht="15" hidden="false" customHeight="false" outlineLevel="0" collapsed="false">
      <c r="A7" s="12" t="s">
        <v>117</v>
      </c>
      <c r="B7" s="13" t="n">
        <v>1</v>
      </c>
      <c r="C7" s="14" t="n">
        <f aca="false">'Hardware Inventory'!B13</f>
        <v>1</v>
      </c>
      <c r="D7" s="15" t="n">
        <f aca="false">B7*C7</f>
        <v>1</v>
      </c>
    </row>
    <row r="8" customFormat="false" ht="15" hidden="false" customHeight="false" outlineLevel="0" collapsed="false">
      <c r="A8" s="12" t="s">
        <v>118</v>
      </c>
      <c r="B8" s="13" t="n">
        <v>1</v>
      </c>
      <c r="C8" s="14" t="n">
        <f aca="false">'Hardware Inventory'!B10</f>
        <v>2</v>
      </c>
      <c r="D8" s="15" t="n">
        <f aca="false">B8*C8</f>
        <v>2</v>
      </c>
    </row>
    <row r="9" customFormat="false" ht="15" hidden="false" customHeight="false" outlineLevel="0" collapsed="false">
      <c r="A9" s="12" t="s">
        <v>119</v>
      </c>
      <c r="B9" s="13" t="n">
        <v>1</v>
      </c>
      <c r="C9" s="14" t="n">
        <f aca="false">'Hardware Inventory'!B8</f>
        <v>1</v>
      </c>
      <c r="D9" s="15" t="n">
        <f aca="false">B9*C9</f>
        <v>1</v>
      </c>
    </row>
    <row r="10" customFormat="false" ht="15" hidden="false" customHeight="false" outlineLevel="0" collapsed="false">
      <c r="A10" s="16" t="s">
        <v>120</v>
      </c>
      <c r="B10" s="17"/>
      <c r="C10" s="17"/>
      <c r="D10" s="18" t="n">
        <f aca="false">SUM(D5:D9)</f>
        <v>26</v>
      </c>
    </row>
    <row r="11" customFormat="false" ht="15" hidden="false" customHeight="false" outlineLevel="0" collapsed="false">
      <c r="A11" s="19" t="s">
        <v>121</v>
      </c>
      <c r="B11" s="17"/>
      <c r="C11" s="17"/>
      <c r="D11" s="14" t="n">
        <f aca="false">'Hardware Inventory'!B7</f>
        <v>5</v>
      </c>
    </row>
    <row r="12" customFormat="false" ht="15" hidden="false" customHeight="false" outlineLevel="0" collapsed="false">
      <c r="A12" s="16" t="s">
        <v>122</v>
      </c>
      <c r="B12" s="17"/>
      <c r="C12" s="17"/>
      <c r="D12" s="18" t="n">
        <f aca="false">D10+D11</f>
        <v>31</v>
      </c>
    </row>
    <row r="13" customFormat="false" ht="15" hidden="false" customHeight="false" outlineLevel="0" collapsed="false">
      <c r="A13" s="19" t="s">
        <v>123</v>
      </c>
      <c r="B13" s="20" t="n">
        <v>0.2</v>
      </c>
      <c r="C13" s="17"/>
      <c r="D13" s="17"/>
    </row>
    <row r="14" customFormat="false" ht="15" hidden="false" customHeight="false" outlineLevel="0" collapsed="false">
      <c r="A14" s="16" t="s">
        <v>124</v>
      </c>
      <c r="B14" s="17"/>
      <c r="C14" s="17"/>
      <c r="D14" s="18" t="n">
        <f aca="false">ROUNDUP(D12*(1+B13),0)</f>
        <v>38</v>
      </c>
    </row>
    <row r="16" customFormat="false" ht="15" hidden="false" customHeight="false" outlineLevel="0" collapsed="false">
      <c r="A16" s="19" t="s">
        <v>125</v>
      </c>
      <c r="B16" s="17"/>
      <c r="C16" s="17"/>
      <c r="D16" s="13" t="n">
        <v>24</v>
      </c>
    </row>
    <row r="17" customFormat="false" ht="15" hidden="false" customHeight="false" outlineLevel="0" collapsed="false">
      <c r="A17" s="19" t="s">
        <v>126</v>
      </c>
      <c r="B17" s="17"/>
      <c r="C17" s="17"/>
      <c r="D17" s="13" t="n">
        <f aca="false">48</f>
        <v>48</v>
      </c>
    </row>
    <row r="19" customFormat="false" ht="15" hidden="false" customHeight="false" outlineLevel="0" collapsed="false">
      <c r="A19" s="16" t="s">
        <v>127</v>
      </c>
      <c r="B19" s="17"/>
      <c r="C19" s="17"/>
      <c r="D19" s="18" t="str">
        <f aca="false">IF(D10&lt;=D16,"Sufficient","INSUFFICIENT")</f>
        <v>INSUFFICIENT</v>
      </c>
    </row>
    <row r="20" customFormat="false" ht="15" hidden="false" customHeight="false" outlineLevel="0" collapsed="false">
      <c r="A20" s="16" t="s">
        <v>128</v>
      </c>
      <c r="B20" s="17"/>
      <c r="C20" s="17"/>
      <c r="D20" s="18" t="str">
        <f aca="false">IF(D14&lt;=D16,"Sufficient","INSUFFICIENT")</f>
        <v>INSUFFICIENT</v>
      </c>
    </row>
    <row r="21" customFormat="false" ht="15" hidden="false" customHeight="false" outlineLevel="0" collapsed="false">
      <c r="A21" s="16" t="s">
        <v>129</v>
      </c>
      <c r="B21" s="17"/>
      <c r="C21" s="17"/>
      <c r="D21" s="18" t="str">
        <f aca="false">IF(D14&lt;=D17,"Sufficient","INSUFFICIENT")</f>
        <v>Sufficient</v>
      </c>
    </row>
    <row r="23" customFormat="false" ht="15" hidden="false" customHeight="false" outlineLevel="0" collapsed="false">
      <c r="A23" s="2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131</v>
      </c>
    </row>
    <row r="3" customFormat="false" ht="27.75" hidden="false" customHeight="true" outlineLevel="0" collapsed="false">
      <c r="A3" s="4" t="s">
        <v>132</v>
      </c>
      <c r="B3" s="4" t="s">
        <v>133</v>
      </c>
      <c r="C3" s="4" t="s">
        <v>134</v>
      </c>
      <c r="D3" s="4" t="s">
        <v>135</v>
      </c>
    </row>
    <row r="4" customFormat="false" ht="15" hidden="false" customHeight="false" outlineLevel="0" collapsed="false">
      <c r="A4" s="22" t="s">
        <v>136</v>
      </c>
      <c r="B4" s="22" t="s">
        <v>137</v>
      </c>
      <c r="C4" s="22" t="s">
        <v>138</v>
      </c>
      <c r="D4" s="22" t="s">
        <v>139</v>
      </c>
    </row>
    <row r="5" customFormat="false" ht="23.85" hidden="false" customHeight="false" outlineLevel="0" collapsed="false">
      <c r="A5" s="22" t="s">
        <v>140</v>
      </c>
      <c r="B5" s="22" t="s">
        <v>141</v>
      </c>
      <c r="C5" s="22" t="s">
        <v>142</v>
      </c>
      <c r="D5" s="22" t="s">
        <v>143</v>
      </c>
    </row>
    <row r="6" customFormat="false" ht="23.85" hidden="false" customHeight="false" outlineLevel="0" collapsed="false">
      <c r="A6" s="22" t="s">
        <v>144</v>
      </c>
      <c r="B6" s="22" t="s">
        <v>145</v>
      </c>
      <c r="C6" s="22" t="s">
        <v>146</v>
      </c>
      <c r="D6" s="22" t="s">
        <v>147</v>
      </c>
    </row>
    <row r="7" customFormat="false" ht="23.85" hidden="false" customHeight="false" outlineLevel="0" collapsed="false">
      <c r="A7" s="22" t="s">
        <v>148</v>
      </c>
      <c r="B7" s="22" t="s">
        <v>149</v>
      </c>
      <c r="C7" s="22" t="s">
        <v>150</v>
      </c>
      <c r="D7" s="22" t="s">
        <v>151</v>
      </c>
    </row>
    <row r="8" customFormat="false" ht="15" hidden="false" customHeight="false" outlineLevel="0" collapsed="false">
      <c r="A8" s="22" t="s">
        <v>116</v>
      </c>
      <c r="B8" s="22" t="s">
        <v>152</v>
      </c>
      <c r="C8" s="22" t="s">
        <v>153</v>
      </c>
      <c r="D8" s="22" t="s">
        <v>154</v>
      </c>
    </row>
    <row r="9" customFormat="false" ht="15" hidden="false" customHeight="false" outlineLevel="0" collapsed="false">
      <c r="A9" s="22" t="s">
        <v>155</v>
      </c>
      <c r="B9" s="22" t="s">
        <v>156</v>
      </c>
      <c r="C9" s="22" t="s">
        <v>157</v>
      </c>
      <c r="D9" s="22" t="s">
        <v>158</v>
      </c>
    </row>
    <row r="10" customFormat="false" ht="15" hidden="false" customHeight="false" outlineLevel="0" collapsed="false">
      <c r="A10" s="22" t="s">
        <v>159</v>
      </c>
      <c r="B10" s="22" t="s">
        <v>160</v>
      </c>
      <c r="C10" s="22" t="s">
        <v>161</v>
      </c>
      <c r="D10" s="22" t="s">
        <v>162</v>
      </c>
    </row>
    <row r="11" customFormat="false" ht="15" hidden="false" customHeight="false" outlineLevel="0" collapsed="false">
      <c r="A11" s="22" t="s">
        <v>163</v>
      </c>
      <c r="B11" s="22" t="s">
        <v>160</v>
      </c>
      <c r="C11" s="22" t="s">
        <v>164</v>
      </c>
      <c r="D11" s="2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82FDF521A85645B936637DD30FD973" ma:contentTypeVersion="7" ma:contentTypeDescription="Create a new document." ma:contentTypeScope="" ma:versionID="e2caf444b7239f9ff99f6ebb04953573">
  <xsd:schema xmlns:xsd="http://www.w3.org/2001/XMLSchema" xmlns:xs="http://www.w3.org/2001/XMLSchema" xmlns:p="http://schemas.microsoft.com/office/2006/metadata/properties" xmlns:ns2="ea60922a-38d8-4759-8041-4d7afebf9df9" targetNamespace="http://schemas.microsoft.com/office/2006/metadata/properties" ma:root="true" ma:fieldsID="0d931dcd0ba00203f86d33dcf4c8052a" ns2:_="">
    <xsd:import namespace="ea60922a-38d8-4759-8041-4d7afebf9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0922a-38d8-4759-8041-4d7afebf9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265BFA-0CD5-48C2-9A4F-32F93428B693}"/>
</file>

<file path=customXml/itemProps2.xml><?xml version="1.0" encoding="utf-8"?>
<ds:datastoreItem xmlns:ds="http://schemas.openxmlformats.org/officeDocument/2006/customXml" ds:itemID="{F62025CD-D270-4F73-8D61-5EAED9ECF6EA}"/>
</file>

<file path=customXml/itemProps3.xml><?xml version="1.0" encoding="utf-8"?>
<ds:datastoreItem xmlns:ds="http://schemas.openxmlformats.org/officeDocument/2006/customXml" ds:itemID="{A41B7C79-4C07-41D0-B83C-28520FB03DF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2026-09-21T07:42:41Z</dcterms:created>
  <dcterms:modified xsi:type="dcterms:W3CDTF">2026-09-21T07:42:41Z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0x0101001F82FDF521A85645B936637DD30FD973</vt:lpwstr>
  </property>
</Properties>
</file>