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xl/_rels/workbook.xml.rels" ContentType="application/vnd.openxmlformats-package.relationship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oftware Inventory" sheetId="1" state="visible" r:id="rId3"/>
    <sheet name="Product Register" sheetId="2" state="visible" r:id="rId4"/>
    <sheet name="Licensing Summary" sheetId="3" state="visible" r:id="rId5"/>
    <sheet name="Change Log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<sst xmlns="http://schemas.openxmlformats.org/spreadsheetml/2006/main" count="346" uniqueCount="244">
  <si>
    <t xml:space="preserve">Ubuntu Innovations (Pty) Ltd — Software Inventory</t>
  </si>
  <si>
    <t xml:space="preserve">Prepared by: Luthando | Week 1 Deliverable | Google IT Support Professional Certificate Capstone | Version 2: vendor and product names added</t>
  </si>
  <si>
    <t xml:space="preserve">Yellow = new row added in this version. Full detail per product (vendor, edition, seats, licence type) is on the 'Product Register' sheet.</t>
  </si>
  <si>
    <t xml:space="preserve">Department</t>
  </si>
  <si>
    <t xml:space="preserve">Standard Software</t>
  </si>
  <si>
    <t xml:space="preserve">Department-Specific Software</t>
  </si>
  <si>
    <t xml:space="preserve">Purpose</t>
  </si>
  <si>
    <t xml:space="preserve">Licensing Notes</t>
  </si>
  <si>
    <t xml:space="preserve">All Departments (baseline)</t>
  </si>
  <si>
    <t xml:space="preserve">Windows 11 Pro (Microsoft) on 17 devices; Ubuntu Desktop 26.04 LTS (Canonical) on the 8 developer PCs; Microsoft 365 Business Premium (Outlook, Word, Excel, PowerPoint, Teams, OneDrive/SharePoint); Microsoft Defender for Business (Windows endpoint security); ClamAV + UFW firewall (Ubuntu); Bitwarden Teams (password manager); Microsoft Edge / Google Chrome (Firefox on Ubuntu)</t>
  </si>
  <si>
    <t xml:space="preserve">—</t>
  </si>
  <si>
    <t xml:space="preserve">Daily operations, communication and device protection</t>
  </si>
  <si>
    <t xml:space="preserve">Microsoft 365 Business Premium: 25 per-user subscriptions (includes Defender for Business and Intune device management). Windows 11 Pro is OEM with the hardware. Ubuntu and ClamAV are free/open source. Bitwarden Teams: 25 seats.</t>
  </si>
  <si>
    <t xml:space="preserve">Executive Management</t>
  </si>
  <si>
    <t xml:space="preserve">Microsoft 365 Business Premium (Outlook, Word, Excel, PowerPoint, Teams), web browser, Meraki Client VPN (laptops)</t>
  </si>
  <si>
    <t xml:space="preserve">HubSpot CRM (viewer seats for sales dashboards); Adobe Acrobat Pro (contracts and signing)</t>
  </si>
  <si>
    <t xml:space="preserve">Management, communication, reporting and decision-making</t>
  </si>
  <si>
    <t xml:space="preserve">3 seats. Acrobat Pro is a per-user subscription and is optional; Meraki Client VPN is included with the firewall.</t>
  </si>
  <si>
    <t xml:space="preserve">Finance</t>
  </si>
  <si>
    <t xml:space="preserve">Microsoft 365 Business Premium (Outlook, Excel, Teams), web browser</t>
  </si>
  <si>
    <t xml:space="preserve">Sage Accounting (or Xero) for the ledger, invoicing and VAT; SimplePay (or Sage Payroll) for payroll; Adobe Acrobat Pro</t>
  </si>
  <si>
    <t xml:space="preserve">Financial records, calculations, reporting and administration</t>
  </si>
  <si>
    <t xml:space="preserve">4 seats. Accounting is a per-user annual/monthly subscription; payroll is billed per employee (25) with 2 Finance administrators. Check SARS/VAT compatibility.</t>
  </si>
  <si>
    <t xml:space="preserve">Human Resources</t>
  </si>
  <si>
    <t xml:space="preserve">Microsoft 365 Business Premium (Word, Excel, Outlook, Teams), web browser</t>
  </si>
  <si>
    <t xml:space="preserve">BambooHR (or Sage HR) for records, leave and onboarding; SharePoint HR document library (in Microsoft 365) as the document management system; SimplePay access for 2 payroll administrators; Adobe Acrobat Pro</t>
  </si>
  <si>
    <t xml:space="preserve">Employee records, documentation and communication</t>
  </si>
  <si>
    <t xml:space="preserve">3 seats. HR system is billed per employee (25). Holds personal information, so POPIA controls apply (restricted access, encryption, retention).</t>
  </si>
  <si>
    <t xml:space="preserve">Sales and Marketing</t>
  </si>
  <si>
    <t xml:space="preserve">Microsoft 365 Business Premium (Outlook, Word, Excel, PowerPoint, Teams), web browser, Meraki Client VPN (2 field laptops)</t>
  </si>
  <si>
    <t xml:space="preserve">HubSpot CRM Starter (7 seats); Canva Teams (3 seats); Mailchimp (3 seats); Adobe Creative Cloud (2 seats, optional)</t>
  </si>
  <si>
    <t xml:space="preserve">Customer communication, marketing activities and reporting</t>
  </si>
  <si>
    <t xml:space="preserve">7 seats for the CRM. Marketing tools depend on tier and contact-list size and must respect POPIA opt-in rules.</t>
  </si>
  <si>
    <t xml:space="preserve">Software Development</t>
  </si>
  <si>
    <t xml:space="preserve">Ubuntu Desktop 26.04 LTS, Microsoft 365 (email and Teams), Firefox / Chrome</t>
  </si>
  <si>
    <t xml:space="preserve">Visual Studio Code (Microsoft); Git; GitHub Team (GitHub); Docker Engine; VirtualBox (Oracle) or KVM/QEMU; Jira (Atlassian, free plan) or Trello; JetBrains IDE (4 seats, optional)</t>
  </si>
  <si>
    <t xml:space="preserve">Software development, testing and project work</t>
  </si>
  <si>
    <t xml:space="preserve">8 seats. Most tools are free/open source. GitHub Team and JetBrains are per-user subscriptions; the Jira free plan has a user cap (verify current limit).</t>
  </si>
  <si>
    <t xml:space="preserve">Infrastructure (company-wide)</t>
  </si>
  <si>
    <t xml:space="preserve">Synology DiskStation Manager with Hyper Backup / Active Backup for Business (NAS); Cisco Business Dashboard / Cisco Business app (switch and Wi-Fi)</t>
  </si>
  <si>
    <t xml:space="preserve">Cisco Meraki MX68 Advanced Security licence and Dashboard; Backblaze B2 (or Wasabi / Azure Blob) offsite backup; Freshdesk free plan or osTicket (helpdesk tickets)</t>
  </si>
  <si>
    <t xml:space="preserve">File sharing, backup, network security and IT support</t>
  </si>
  <si>
    <t xml:space="preserve">Meraki licence is per device (1, 3 or 5-year) and the firewall needs an active licence to keep working. NAS and Cisco Business tools have no extra licence. Cloud backup is billed per TB.</t>
  </si>
  <si>
    <t xml:space="preserve">Note: Software mapped from the approved Business Requirements Analysis (5 departments, 25 employees). Vendor and product names are recommendations: confirm editions, prices and free-tier limits with each vendor before final submission.</t>
  </si>
  <si>
    <t xml:space="preserve">Product Register (vendor, product, edition and seats)</t>
  </si>
  <si>
    <t xml:space="preserve">Department columns = users (or devices) that need the software. Blue = inputs; Total Users is a formula.</t>
  </si>
  <si>
    <t xml:space="preserve">Headcount</t>
  </si>
  <si>
    <t xml:space="preserve">Ref</t>
  </si>
  <si>
    <t xml:space="preserve">Vendor</t>
  </si>
  <si>
    <t xml:space="preserve">Product</t>
  </si>
  <si>
    <t xml:space="preserve">Edition / Version</t>
  </si>
  <si>
    <t xml:space="preserve">Category</t>
  </si>
  <si>
    <t xml:space="preserve">Exec</t>
  </si>
  <si>
    <t xml:space="preserve">HR</t>
  </si>
  <si>
    <t xml:space="preserve">Sales &amp; Mktg</t>
  </si>
  <si>
    <t xml:space="preserve">Dev</t>
  </si>
  <si>
    <t xml:space="preserve">Infra</t>
  </si>
  <si>
    <t xml:space="preserve">Total Users</t>
  </si>
  <si>
    <t xml:space="preserve">Licence Type</t>
  </si>
  <si>
    <t xml:space="preserve">Licensing Model and Notes</t>
  </si>
  <si>
    <t xml:space="preserve">Priority</t>
  </si>
  <si>
    <t xml:space="preserve">SW-01</t>
  </si>
  <si>
    <t xml:space="preserve">Microsoft</t>
  </si>
  <si>
    <t xml:space="preserve">Windows 11 Pro</t>
  </si>
  <si>
    <t xml:space="preserve">Current release</t>
  </si>
  <si>
    <t xml:space="preserve">Operating system</t>
  </si>
  <si>
    <t xml:space="preserve">Included / OEM</t>
  </si>
  <si>
    <t xml:space="preserve">OEM licence supplied with the hardware. Managed by Intune; BitLocker enabled.</t>
  </si>
  <si>
    <t xml:space="preserve">Essential</t>
  </si>
  <si>
    <t xml:space="preserve">SW-02</t>
  </si>
  <si>
    <t xml:space="preserve">Canonical</t>
  </si>
  <si>
    <t xml:space="preserve">Ubuntu Desktop</t>
  </si>
  <si>
    <t xml:space="preserve">26.04 LTS (24.04 LTS also supported)</t>
  </si>
  <si>
    <t xml:space="preserve">Open source / free</t>
  </si>
  <si>
    <t xml:space="preserve">Open source. 26.04 LTS was released in April 2026 with security updates to April 2031. Enable full-disk encryption and unattended security updates.</t>
  </si>
  <si>
    <t xml:space="preserve">SW-03</t>
  </si>
  <si>
    <t xml:space="preserve">Microsoft 365 Business Premium</t>
  </si>
  <si>
    <t xml:space="preserve">Per user</t>
  </si>
  <si>
    <t xml:space="preserve">Productivity / identity / device mgmt</t>
  </si>
  <si>
    <t xml:space="preserve">Subscription</t>
  </si>
  <si>
    <t xml:space="preserve">Per-user subscription (25). Email, Office apps, Teams, OneDrive/SharePoint, Entra ID with MFA, Intune and Defender for Business in one bundle.</t>
  </si>
  <si>
    <t xml:space="preserve">SW-04</t>
  </si>
  <si>
    <t xml:space="preserve">Defender for Business</t>
  </si>
  <si>
    <t xml:space="preserve">Included in SW-03</t>
  </si>
  <si>
    <t xml:space="preserve">Endpoint security (AV/EDR)</t>
  </si>
  <si>
    <t xml:space="preserve">Covers the 17 Windows devices at no extra cost.</t>
  </si>
  <si>
    <t xml:space="preserve">SW-05</t>
  </si>
  <si>
    <t xml:space="preserve">Cisco (ClamAV) / Canonical</t>
  </si>
  <si>
    <t xml:space="preserve">ClamAV + UFW</t>
  </si>
  <si>
    <t xml:space="preserve">Current packages</t>
  </si>
  <si>
    <t xml:space="preserve">Endpoint security (Linux)</t>
  </si>
  <si>
    <t xml:space="preserve">Open source antivirus and host firewall for the Ubuntu PCs. EDR for Linux to be confirmed with the security vendor.</t>
  </si>
  <si>
    <t xml:space="preserve">SW-06</t>
  </si>
  <si>
    <t xml:space="preserve">Bitwarden</t>
  </si>
  <si>
    <t xml:space="preserve">Bitwarden Teams</t>
  </si>
  <si>
    <t xml:space="preserve">Teams Organization</t>
  </si>
  <si>
    <t xml:space="preserve">Security</t>
  </si>
  <si>
    <t xml:space="preserve">Per-user subscription (25 seats). Shared collections per department.</t>
  </si>
  <si>
    <t xml:space="preserve">SW-07</t>
  </si>
  <si>
    <t xml:space="preserve">Microsoft / Google / Mozilla</t>
  </si>
  <si>
    <t xml:space="preserve">Edge or Chrome (Firefox on Ubuntu)</t>
  </si>
  <si>
    <t xml:space="preserve">Current</t>
  </si>
  <si>
    <t xml:space="preserve">Productivity</t>
  </si>
  <si>
    <t xml:space="preserve">Free. Extensions restricted by policy.</t>
  </si>
  <si>
    <t xml:space="preserve">SW-08</t>
  </si>
  <si>
    <t xml:space="preserve">Cisco (Meraki)</t>
  </si>
  <si>
    <t xml:space="preserve">Meraki Client VPN</t>
  </si>
  <si>
    <t xml:space="preserve">Built into MX68</t>
  </si>
  <si>
    <t xml:space="preserve">Networking / security</t>
  </si>
  <si>
    <t xml:space="preserve">IPsec client VPN uses the operating system's built-in VPN client. For Executive and the 2 field-sales laptops.</t>
  </si>
  <si>
    <t xml:space="preserve">SW-09</t>
  </si>
  <si>
    <t xml:space="preserve">Sage / Xero</t>
  </si>
  <si>
    <t xml:space="preserve">Sage Accounting or Xero</t>
  </si>
  <si>
    <t xml:space="preserve">Per plan</t>
  </si>
  <si>
    <t xml:space="preserve">Business application</t>
  </si>
  <si>
    <t xml:space="preserve">Per-company plan with per-user seats. Confirm VAT/SARS features.</t>
  </si>
  <si>
    <t xml:space="preserve">SW-10</t>
  </si>
  <si>
    <t xml:space="preserve">SimplePay / Sage</t>
  </si>
  <si>
    <t xml:space="preserve">SimplePay or Sage Payroll</t>
  </si>
  <si>
    <t xml:space="preserve">Per employee</t>
  </si>
  <si>
    <t xml:space="preserve">Billed per employee (25). Access limited to 2 Finance and 2 HR administrators.</t>
  </si>
  <si>
    <t xml:space="preserve">SW-11</t>
  </si>
  <si>
    <t xml:space="preserve">Adobe</t>
  </si>
  <si>
    <t xml:space="preserve">Acrobat Pro</t>
  </si>
  <si>
    <t xml:space="preserve">Per-user subscription. Optional: Microsoft 365 handles basic PDF needs.</t>
  </si>
  <si>
    <t xml:space="preserve">Optional</t>
  </si>
  <si>
    <t xml:space="preserve">SW-12</t>
  </si>
  <si>
    <t xml:space="preserve">BambooHR / Sage</t>
  </si>
  <si>
    <t xml:space="preserve">BambooHR or Sage HR</t>
  </si>
  <si>
    <t xml:space="preserve">Billed per employee (25). Personal information: POPIA controls apply.</t>
  </si>
  <si>
    <t xml:space="preserve">SW-13</t>
  </si>
  <si>
    <t xml:space="preserve">HubSpot</t>
  </si>
  <si>
    <t xml:space="preserve">HubSpot CRM (Starter)</t>
  </si>
  <si>
    <t xml:space="preserve">Per-user subscription. Executive seats are viewer/dashboard access; check for a free viewer tier.</t>
  </si>
  <si>
    <t xml:space="preserve">SW-14</t>
  </si>
  <si>
    <t xml:space="preserve">Canva</t>
  </si>
  <si>
    <t xml:space="preserve">Canva Teams</t>
  </si>
  <si>
    <t xml:space="preserve">Design</t>
  </si>
  <si>
    <t xml:space="preserve">Assumption: 3 of the 7 Sales and Marketing staff do marketing design.</t>
  </si>
  <si>
    <t xml:space="preserve">Recommended</t>
  </si>
  <si>
    <t xml:space="preserve">SW-15</t>
  </si>
  <si>
    <t xml:space="preserve">Creative Cloud (All Apps)</t>
  </si>
  <si>
    <t xml:space="preserve">Optional: only if Canva does not meet needs.</t>
  </si>
  <si>
    <t xml:space="preserve">SW-16</t>
  </si>
  <si>
    <t xml:space="preserve">Mailchimp</t>
  </si>
  <si>
    <t xml:space="preserve">Tier by contact count</t>
  </si>
  <si>
    <t xml:space="preserve">Marketing</t>
  </si>
  <si>
    <t xml:space="preserve">Must respect POPIA opt-in/opt-out rules.</t>
  </si>
  <si>
    <t xml:space="preserve">SW-17</t>
  </si>
  <si>
    <t xml:space="preserve">Visual Studio Code</t>
  </si>
  <si>
    <t xml:space="preserve">Development</t>
  </si>
  <si>
    <t xml:space="preserve">Free (MIT licence).</t>
  </si>
  <si>
    <t xml:space="preserve">SW-18</t>
  </si>
  <si>
    <t xml:space="preserve">Git project</t>
  </si>
  <si>
    <t xml:space="preserve">Git</t>
  </si>
  <si>
    <t xml:space="preserve">Free (GPL).</t>
  </si>
  <si>
    <t xml:space="preserve">SW-19</t>
  </si>
  <si>
    <t xml:space="preserve">GitHub (Microsoft)</t>
  </si>
  <si>
    <t xml:space="preserve">GitHub Team</t>
  </si>
  <si>
    <t xml:space="preserve">Per-user subscription. Also hosts the capstone repository.</t>
  </si>
  <si>
    <t xml:space="preserve">SW-20</t>
  </si>
  <si>
    <t xml:space="preserve">Docker</t>
  </si>
  <si>
    <t xml:space="preserve">Docker Engine</t>
  </si>
  <si>
    <t xml:space="preserve">Linux, current</t>
  </si>
  <si>
    <t xml:space="preserve">Free on Linux (Apache 2.0). Docker Desktop has separate commercial terms and is not needed on Ubuntu.</t>
  </si>
  <si>
    <t xml:space="preserve">SW-21</t>
  </si>
  <si>
    <t xml:space="preserve">Oracle / open source</t>
  </si>
  <si>
    <t xml:space="preserve">VirtualBox or KVM/QEMU</t>
  </si>
  <si>
    <t xml:space="preserve">VirtualBox is GPLv3 (Extension Pack has separate terms). KVM/QEMU is fully open source.</t>
  </si>
  <si>
    <t xml:space="preserve">SW-22</t>
  </si>
  <si>
    <t xml:space="preserve">JetBrains</t>
  </si>
  <si>
    <t xml:space="preserve">PyCharm / IntelliJ IDEA</t>
  </si>
  <si>
    <t xml:space="preserve">Optional: assumes 4 developers request it.</t>
  </si>
  <si>
    <t xml:space="preserve">SW-23</t>
  </si>
  <si>
    <t xml:space="preserve">Atlassian / Trello</t>
  </si>
  <si>
    <t xml:space="preserve">Jira (free plan) or Trello</t>
  </si>
  <si>
    <t xml:space="preserve">Free tier</t>
  </si>
  <si>
    <t xml:space="preserve">Project management</t>
  </si>
  <si>
    <t xml:space="preserve">The free plan has a user limit: verify the current cap.</t>
  </si>
  <si>
    <t xml:space="preserve">SW-24</t>
  </si>
  <si>
    <t xml:space="preserve">Synology</t>
  </si>
  <si>
    <t xml:space="preserve">DiskStation Manager (DSM) + Hyper Backup / Active Backup for Business</t>
  </si>
  <si>
    <t xml:space="preserve">DSM 7.x</t>
  </si>
  <si>
    <t xml:space="preserve">Infrastructure</t>
  </si>
  <si>
    <t xml:space="preserve">Included with the NAS. SMB shares, group permissions, snapshots and scheduled backups.</t>
  </si>
  <si>
    <t xml:space="preserve">SW-25</t>
  </si>
  <si>
    <t xml:space="preserve">Backblaze (or Wasabi / Microsoft Azure)</t>
  </si>
  <si>
    <t xml:space="preserve">B2 Cloud Storage</t>
  </si>
  <si>
    <t xml:space="preserve">Pay per TB</t>
  </si>
  <si>
    <t xml:space="preserve">Encrypted offsite copy of backups. Enable versioning/immutability against ransomware.</t>
  </si>
  <si>
    <t xml:space="preserve">SW-26</t>
  </si>
  <si>
    <t xml:space="preserve">MX68 Advanced Security licence + Meraki Dashboard</t>
  </si>
  <si>
    <t xml:space="preserve">1, 3 or 5-year, per device</t>
  </si>
  <si>
    <t xml:space="preserve">Cisco lists IPS, content filtering and malware protection as requiring the Advanced Security licence. The cloud-managed device needs an active licence to keep working: diarise the renewal date.</t>
  </si>
  <si>
    <t xml:space="preserve">SW-27</t>
  </si>
  <si>
    <t xml:space="preserve">Cisco</t>
  </si>
  <si>
    <t xml:space="preserve">Cisco Business Dashboard / Cisco Business app</t>
  </si>
  <si>
    <t xml:space="preserve">Free management for the Catalyst 1200 switch and Business 150AX access points.</t>
  </si>
  <si>
    <t xml:space="preserve">SW-28</t>
  </si>
  <si>
    <t xml:space="preserve">Freshworks / osTicket</t>
  </si>
  <si>
    <t xml:space="preserve">Freshdesk (free plan) or osTicket</t>
  </si>
  <si>
    <t xml:space="preserve">IT support</t>
  </si>
  <si>
    <t xml:space="preserve">Ticket log for the Troubleshooting Log process.</t>
  </si>
  <si>
    <t xml:space="preserve">SW-29</t>
  </si>
  <si>
    <t xml:space="preserve">KnowBe4 (or in-house)</t>
  </si>
  <si>
    <t xml:space="preserve">Security awareness training</t>
  </si>
  <si>
    <t xml:space="preserve">Optional: in-house sessions are covered in the Week 3 Security Awareness Outline.</t>
  </si>
  <si>
    <t xml:space="preserve">Licensing Summary</t>
  </si>
  <si>
    <t xml:space="preserve">All figures are formulas reading the Product Register.</t>
  </si>
  <si>
    <t xml:space="preserve">By licence type</t>
  </si>
  <si>
    <t xml:space="preserve">Number of products</t>
  </si>
  <si>
    <t xml:space="preserve">Total products</t>
  </si>
  <si>
    <t xml:space="preserve">By priority</t>
  </si>
  <si>
    <t xml:space="preserve">Check: both totals match</t>
  </si>
  <si>
    <t xml:space="preserve">Products used</t>
  </si>
  <si>
    <t xml:space="preserve">Change Log: what changed from your first version</t>
  </si>
  <si>
    <t xml:space="preserve">Item</t>
  </si>
  <si>
    <t xml:space="preserve">First version</t>
  </si>
  <si>
    <t xml:space="preserve">This version</t>
  </si>
  <si>
    <t xml:space="preserve">Reason</t>
  </si>
  <si>
    <t xml:space="preserve">Product names</t>
  </si>
  <si>
    <t xml:space="preserve">Generic categories (e.g. 'productivity suite', 'antivirus')</t>
  </si>
  <si>
    <t xml:space="preserve">Vendor, product and edition for every item</t>
  </si>
  <si>
    <t xml:space="preserve">Requested by the networking team members; also needed for licensing.</t>
  </si>
  <si>
    <t xml:space="preserve">Operating systems</t>
  </si>
  <si>
    <t xml:space="preserve">Not stated</t>
  </si>
  <si>
    <t xml:space="preserve">Windows 11 Pro (17 devices), Ubuntu Desktop 26.04 LTS (8 developer PCs)</t>
  </si>
  <si>
    <t xml:space="preserve">Ubuntu 26.04 LTS is the current LTS (released April 2026); developers on Ubuntu link to the Week 2 Linux tasks.</t>
  </si>
  <si>
    <t xml:space="preserve">Endpoint security</t>
  </si>
  <si>
    <t xml:space="preserve">Per-seat antivirus (25 licences)</t>
  </si>
  <si>
    <t xml:space="preserve">Microsoft Defender for Business (included in Microsoft 365 Business Premium) + ClamAV/UFW on Ubuntu</t>
  </si>
  <si>
    <t xml:space="preserve">Avoids buying a separate antivirus for 25 devices.</t>
  </si>
  <si>
    <t xml:space="preserve">Infrastructure row</t>
  </si>
  <si>
    <t xml:space="preserve">Not included</t>
  </si>
  <si>
    <t xml:space="preserve">New row: NAS software, Meraki licence, cloud backup, helpdesk</t>
  </si>
  <si>
    <t xml:space="preserve">The Cisco Meraki firewall needs an active licence, and backup needs software and cloud storage.</t>
  </si>
  <si>
    <t xml:space="preserve">Document management (HR)</t>
  </si>
  <si>
    <t xml:space="preserve">Document management system</t>
  </si>
  <si>
    <t xml:space="preserve">SharePoint HR document library (in Microsoft 365) + NAS /Company/HR folder</t>
  </si>
  <si>
    <t xml:space="preserve">No separate product is needed.</t>
  </si>
  <si>
    <t xml:space="preserve">Product Register + summary sheets</t>
  </si>
  <si>
    <t xml:space="preserve">None</t>
  </si>
  <si>
    <t xml:space="preserve">Seat counts by department with formula totals and a licensing summary</t>
  </si>
  <si>
    <t xml:space="preserve">Gives a clear licensing plan for the final report.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</si>
</sst>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sz val="10"/>
      <color rgb="FF595959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9"/>
      <color rgb="FF80808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1.xml"/><Relationship Id="rId7" Type="http://schemas.openxmlformats.org/officeDocument/2006/relationships/sharedStrings" Target="sharedStrings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worksheet" Target="worksheets/sheet4.xml"/><Relationship Id="rId5" Type="http://schemas.openxmlformats.org/officeDocument/2006/relationships/worksheet" Target="worksheets/sheet3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2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62"/>
    <col collapsed="false" customWidth="true" hidden="false" outlineLevel="0" max="4" min="4" style="0" width="34"/>
    <col collapsed="false" customWidth="true" hidden="false" outlineLevel="0" max="5" min="5" style="0" width="6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33.7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customFormat="false" ht="68.65" hidden="false" customHeight="false" outlineLevel="0" collapsed="false">
      <c r="A6" s="5" t="s">
        <v>8</v>
      </c>
      <c r="B6" s="6" t="s">
        <v>9</v>
      </c>
      <c r="C6" s="6" t="s">
        <v>10</v>
      </c>
      <c r="D6" s="6" t="s">
        <v>11</v>
      </c>
      <c r="E6" s="6" t="s">
        <v>12</v>
      </c>
    </row>
    <row r="7" customFormat="false" ht="23.85" hidden="false" customHeight="false" outlineLevel="0" collapsed="false">
      <c r="A7" s="5" t="s">
        <v>13</v>
      </c>
      <c r="B7" s="6" t="s">
        <v>14</v>
      </c>
      <c r="C7" s="6" t="s">
        <v>15</v>
      </c>
      <c r="D7" s="6" t="s">
        <v>16</v>
      </c>
      <c r="E7" s="6" t="s">
        <v>17</v>
      </c>
    </row>
    <row r="8" customFormat="false" ht="35.05" hidden="false" customHeight="false" outlineLevel="0" collapsed="false">
      <c r="A8" s="5" t="s">
        <v>18</v>
      </c>
      <c r="B8" s="6" t="s">
        <v>19</v>
      </c>
      <c r="C8" s="6" t="s">
        <v>20</v>
      </c>
      <c r="D8" s="6" t="s">
        <v>21</v>
      </c>
      <c r="E8" s="6" t="s">
        <v>22</v>
      </c>
    </row>
    <row r="9" customFormat="false" ht="35.05" hidden="false" customHeight="false" outlineLevel="0" collapsed="false">
      <c r="A9" s="5" t="s">
        <v>23</v>
      </c>
      <c r="B9" s="6" t="s">
        <v>24</v>
      </c>
      <c r="C9" s="6" t="s">
        <v>25</v>
      </c>
      <c r="D9" s="6" t="s">
        <v>26</v>
      </c>
      <c r="E9" s="6" t="s">
        <v>27</v>
      </c>
    </row>
    <row r="10" customFormat="false" ht="23.85" hidden="false" customHeight="false" outlineLevel="0" collapsed="false">
      <c r="A10" s="5" t="s">
        <v>28</v>
      </c>
      <c r="B10" s="6" t="s">
        <v>29</v>
      </c>
      <c r="C10" s="6" t="s">
        <v>30</v>
      </c>
      <c r="D10" s="6" t="s">
        <v>31</v>
      </c>
      <c r="E10" s="6" t="s">
        <v>32</v>
      </c>
    </row>
    <row r="11" customFormat="false" ht="35.05" hidden="false" customHeight="false" outlineLevel="0" collapsed="false">
      <c r="A11" s="5" t="s">
        <v>33</v>
      </c>
      <c r="B11" s="6" t="s">
        <v>34</v>
      </c>
      <c r="C11" s="6" t="s">
        <v>35</v>
      </c>
      <c r="D11" s="6" t="s">
        <v>36</v>
      </c>
      <c r="E11" s="6" t="s">
        <v>37</v>
      </c>
    </row>
    <row r="12" customFormat="false" ht="35.05" hidden="false" customHeight="false" outlineLevel="0" collapsed="false">
      <c r="A12" s="7" t="s">
        <v>38</v>
      </c>
      <c r="B12" s="8" t="s">
        <v>39</v>
      </c>
      <c r="C12" s="8" t="s">
        <v>40</v>
      </c>
      <c r="D12" s="8" t="s">
        <v>41</v>
      </c>
      <c r="E12" s="8" t="s">
        <v>42</v>
      </c>
    </row>
    <row r="14" customFormat="false" ht="15" hidden="false" customHeight="false" outlineLevel="0" collapsed="false">
      <c r="A14" s="9" t="s">
        <v>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4"/>
    <col collapsed="false" customWidth="true" hidden="false" outlineLevel="0" max="3" min="3" style="0" width="34"/>
    <col collapsed="false" customWidth="true" hidden="false" outlineLevel="0" max="4" min="4" style="0" width="24"/>
    <col collapsed="false" customWidth="true" hidden="false" outlineLevel="0" max="5" min="5" style="0" width="22"/>
    <col collapsed="false" customWidth="true" hidden="false" outlineLevel="0" max="6" min="6" style="0" width="6"/>
    <col collapsed="false" customWidth="true" hidden="false" outlineLevel="0" max="7" min="7" style="0" width="8"/>
    <col collapsed="false" customWidth="true" hidden="false" outlineLevel="0" max="8" min="8" style="0" width="6"/>
    <col collapsed="false" customWidth="true" hidden="false" outlineLevel="0" max="9" min="9" style="0" width="10"/>
    <col collapsed="false" customWidth="true" hidden="false" outlineLevel="0" max="11" min="10" style="0" width="6"/>
    <col collapsed="false" customWidth="true" hidden="false" outlineLevel="0" max="12" min="12" style="0" width="9"/>
    <col collapsed="false" customWidth="true" hidden="false" outlineLevel="0" max="13" min="13" style="0" width="17"/>
    <col collapsed="false" customWidth="true" hidden="false" outlineLevel="0" max="14" min="14" style="0" width="62"/>
    <col collapsed="false" customWidth="true" hidden="false" outlineLevel="0" max="15" min="15" style="0" width="12"/>
  </cols>
  <sheetData>
    <row r="1" customFormat="false" ht="17.35" hidden="false" customHeight="false" outlineLevel="0" collapsed="false">
      <c r="A1" s="1" t="s">
        <v>44</v>
      </c>
    </row>
    <row r="2" customFormat="false" ht="15" hidden="false" customHeight="false" outlineLevel="0" collapsed="false">
      <c r="A2" s="2" t="s">
        <v>45</v>
      </c>
    </row>
    <row r="4" customFormat="false" ht="15" hidden="false" customHeight="false" outlineLevel="0" collapsed="false">
      <c r="E4" s="10" t="s">
        <v>46</v>
      </c>
      <c r="F4" s="11" t="n">
        <v>3</v>
      </c>
      <c r="G4" s="11" t="n">
        <v>4</v>
      </c>
      <c r="H4" s="11" t="n">
        <v>3</v>
      </c>
      <c r="I4" s="11" t="n">
        <v>7</v>
      </c>
      <c r="J4" s="11" t="n">
        <v>8</v>
      </c>
      <c r="L4" s="12" t="n">
        <f aca="false">SUM(F4:J4)</f>
        <v>25</v>
      </c>
    </row>
    <row r="5" customFormat="false" ht="36" hidden="false" customHeight="true" outlineLevel="0" collapsed="false">
      <c r="A5" s="4" t="s">
        <v>47</v>
      </c>
      <c r="B5" s="4" t="s">
        <v>48</v>
      </c>
      <c r="C5" s="4" t="s">
        <v>49</v>
      </c>
      <c r="D5" s="4" t="s">
        <v>50</v>
      </c>
      <c r="E5" s="4" t="s">
        <v>51</v>
      </c>
      <c r="F5" s="4" t="s">
        <v>52</v>
      </c>
      <c r="G5" s="4" t="s">
        <v>18</v>
      </c>
      <c r="H5" s="4" t="s">
        <v>53</v>
      </c>
      <c r="I5" s="4" t="s">
        <v>54</v>
      </c>
      <c r="J5" s="4" t="s">
        <v>55</v>
      </c>
      <c r="K5" s="4" t="s">
        <v>56</v>
      </c>
      <c r="L5" s="4" t="s">
        <v>57</v>
      </c>
      <c r="M5" s="4" t="s">
        <v>58</v>
      </c>
      <c r="N5" s="4" t="s">
        <v>59</v>
      </c>
      <c r="O5" s="4" t="s">
        <v>60</v>
      </c>
    </row>
    <row r="6" customFormat="false" ht="23.85" hidden="false" customHeight="false" outlineLevel="0" collapsed="false">
      <c r="A6" s="13" t="s">
        <v>61</v>
      </c>
      <c r="B6" s="14" t="s">
        <v>62</v>
      </c>
      <c r="C6" s="14" t="s">
        <v>63</v>
      </c>
      <c r="D6" s="14" t="s">
        <v>64</v>
      </c>
      <c r="E6" s="14" t="s">
        <v>65</v>
      </c>
      <c r="F6" s="15" t="n">
        <v>3</v>
      </c>
      <c r="G6" s="15" t="n">
        <v>4</v>
      </c>
      <c r="H6" s="15" t="n">
        <v>3</v>
      </c>
      <c r="I6" s="15" t="n">
        <v>7</v>
      </c>
      <c r="J6" s="15" t="n">
        <v>0</v>
      </c>
      <c r="K6" s="15" t="n">
        <v>0</v>
      </c>
      <c r="L6" s="13" t="n">
        <f aca="false">SUM(F6:K6)</f>
        <v>17</v>
      </c>
      <c r="M6" s="13" t="s">
        <v>66</v>
      </c>
      <c r="N6" s="14" t="s">
        <v>67</v>
      </c>
      <c r="O6" s="13" t="s">
        <v>68</v>
      </c>
    </row>
    <row r="7" customFormat="false" ht="23.85" hidden="false" customHeight="false" outlineLevel="0" collapsed="false">
      <c r="A7" s="13" t="s">
        <v>69</v>
      </c>
      <c r="B7" s="14" t="s">
        <v>70</v>
      </c>
      <c r="C7" s="14" t="s">
        <v>71</v>
      </c>
      <c r="D7" s="14" t="s">
        <v>72</v>
      </c>
      <c r="E7" s="14" t="s">
        <v>65</v>
      </c>
      <c r="F7" s="15" t="n">
        <v>0</v>
      </c>
      <c r="G7" s="15" t="n">
        <v>0</v>
      </c>
      <c r="H7" s="15" t="n">
        <v>0</v>
      </c>
      <c r="I7" s="15" t="n">
        <v>0</v>
      </c>
      <c r="J7" s="15" t="n">
        <v>8</v>
      </c>
      <c r="K7" s="15" t="n">
        <v>0</v>
      </c>
      <c r="L7" s="13" t="n">
        <f aca="false">SUM(F7:K7)</f>
        <v>8</v>
      </c>
      <c r="M7" s="13" t="s">
        <v>73</v>
      </c>
      <c r="N7" s="14" t="s">
        <v>74</v>
      </c>
      <c r="O7" s="13" t="s">
        <v>68</v>
      </c>
    </row>
    <row r="8" customFormat="false" ht="35.05" hidden="false" customHeight="false" outlineLevel="0" collapsed="false">
      <c r="A8" s="13" t="s">
        <v>75</v>
      </c>
      <c r="B8" s="14" t="s">
        <v>62</v>
      </c>
      <c r="C8" s="14" t="s">
        <v>76</v>
      </c>
      <c r="D8" s="14" t="s">
        <v>77</v>
      </c>
      <c r="E8" s="14" t="s">
        <v>78</v>
      </c>
      <c r="F8" s="15" t="n">
        <v>3</v>
      </c>
      <c r="G8" s="15" t="n">
        <v>4</v>
      </c>
      <c r="H8" s="15" t="n">
        <v>3</v>
      </c>
      <c r="I8" s="15" t="n">
        <v>7</v>
      </c>
      <c r="J8" s="15" t="n">
        <v>8</v>
      </c>
      <c r="K8" s="15" t="n">
        <v>0</v>
      </c>
      <c r="L8" s="13" t="n">
        <f aca="false">SUM(F8:K8)</f>
        <v>25</v>
      </c>
      <c r="M8" s="13" t="s">
        <v>79</v>
      </c>
      <c r="N8" s="14" t="s">
        <v>80</v>
      </c>
      <c r="O8" s="13" t="s">
        <v>68</v>
      </c>
    </row>
    <row r="9" customFormat="false" ht="23.85" hidden="false" customHeight="false" outlineLevel="0" collapsed="false">
      <c r="A9" s="13" t="s">
        <v>81</v>
      </c>
      <c r="B9" s="14" t="s">
        <v>62</v>
      </c>
      <c r="C9" s="14" t="s">
        <v>82</v>
      </c>
      <c r="D9" s="14" t="s">
        <v>83</v>
      </c>
      <c r="E9" s="14" t="s">
        <v>84</v>
      </c>
      <c r="F9" s="15" t="n">
        <v>3</v>
      </c>
      <c r="G9" s="15" t="n">
        <v>4</v>
      </c>
      <c r="H9" s="15" t="n">
        <v>3</v>
      </c>
      <c r="I9" s="15" t="n">
        <v>7</v>
      </c>
      <c r="J9" s="15" t="n">
        <v>0</v>
      </c>
      <c r="K9" s="15" t="n">
        <v>0</v>
      </c>
      <c r="L9" s="13" t="n">
        <f aca="false">SUM(F9:K9)</f>
        <v>17</v>
      </c>
      <c r="M9" s="13" t="s">
        <v>66</v>
      </c>
      <c r="N9" s="14" t="s">
        <v>85</v>
      </c>
      <c r="O9" s="13" t="s">
        <v>68</v>
      </c>
    </row>
    <row r="10" customFormat="false" ht="23.85" hidden="false" customHeight="false" outlineLevel="0" collapsed="false">
      <c r="A10" s="13" t="s">
        <v>86</v>
      </c>
      <c r="B10" s="14" t="s">
        <v>87</v>
      </c>
      <c r="C10" s="14" t="s">
        <v>88</v>
      </c>
      <c r="D10" s="14" t="s">
        <v>89</v>
      </c>
      <c r="E10" s="14" t="s">
        <v>90</v>
      </c>
      <c r="F10" s="15" t="n">
        <v>0</v>
      </c>
      <c r="G10" s="15" t="n">
        <v>0</v>
      </c>
      <c r="H10" s="15" t="n">
        <v>0</v>
      </c>
      <c r="I10" s="15" t="n">
        <v>0</v>
      </c>
      <c r="J10" s="15" t="n">
        <v>8</v>
      </c>
      <c r="K10" s="15" t="n">
        <v>0</v>
      </c>
      <c r="L10" s="13" t="n">
        <f aca="false">SUM(F10:K10)</f>
        <v>8</v>
      </c>
      <c r="M10" s="13" t="s">
        <v>73</v>
      </c>
      <c r="N10" s="14" t="s">
        <v>91</v>
      </c>
      <c r="O10" s="13" t="s">
        <v>68</v>
      </c>
    </row>
    <row r="11" customFormat="false" ht="15" hidden="false" customHeight="false" outlineLevel="0" collapsed="false">
      <c r="A11" s="13" t="s">
        <v>92</v>
      </c>
      <c r="B11" s="14" t="s">
        <v>93</v>
      </c>
      <c r="C11" s="14" t="s">
        <v>94</v>
      </c>
      <c r="D11" s="14" t="s">
        <v>95</v>
      </c>
      <c r="E11" s="14" t="s">
        <v>96</v>
      </c>
      <c r="F11" s="15" t="n">
        <v>3</v>
      </c>
      <c r="G11" s="15" t="n">
        <v>4</v>
      </c>
      <c r="H11" s="15" t="n">
        <v>3</v>
      </c>
      <c r="I11" s="15" t="n">
        <v>7</v>
      </c>
      <c r="J11" s="15" t="n">
        <v>8</v>
      </c>
      <c r="K11" s="15" t="n">
        <v>0</v>
      </c>
      <c r="L11" s="13" t="n">
        <f aca="false">SUM(F11:K11)</f>
        <v>25</v>
      </c>
      <c r="M11" s="13" t="s">
        <v>79</v>
      </c>
      <c r="N11" s="14" t="s">
        <v>97</v>
      </c>
      <c r="O11" s="13" t="s">
        <v>68</v>
      </c>
    </row>
    <row r="12" customFormat="false" ht="15" hidden="false" customHeight="false" outlineLevel="0" collapsed="false">
      <c r="A12" s="13" t="s">
        <v>98</v>
      </c>
      <c r="B12" s="14" t="s">
        <v>99</v>
      </c>
      <c r="C12" s="14" t="s">
        <v>100</v>
      </c>
      <c r="D12" s="14" t="s">
        <v>101</v>
      </c>
      <c r="E12" s="14" t="s">
        <v>102</v>
      </c>
      <c r="F12" s="15" t="n">
        <v>3</v>
      </c>
      <c r="G12" s="15" t="n">
        <v>4</v>
      </c>
      <c r="H12" s="15" t="n">
        <v>3</v>
      </c>
      <c r="I12" s="15" t="n">
        <v>7</v>
      </c>
      <c r="J12" s="15" t="n">
        <v>8</v>
      </c>
      <c r="K12" s="15" t="n">
        <v>0</v>
      </c>
      <c r="L12" s="13" t="n">
        <f aca="false">SUM(F12:K12)</f>
        <v>25</v>
      </c>
      <c r="M12" s="13" t="s">
        <v>73</v>
      </c>
      <c r="N12" s="14" t="s">
        <v>103</v>
      </c>
      <c r="O12" s="13" t="s">
        <v>68</v>
      </c>
    </row>
    <row r="13" customFormat="false" ht="23.85" hidden="false" customHeight="false" outlineLevel="0" collapsed="false">
      <c r="A13" s="13" t="s">
        <v>104</v>
      </c>
      <c r="B13" s="14" t="s">
        <v>105</v>
      </c>
      <c r="C13" s="14" t="s">
        <v>106</v>
      </c>
      <c r="D13" s="14" t="s">
        <v>107</v>
      </c>
      <c r="E13" s="14" t="s">
        <v>108</v>
      </c>
      <c r="F13" s="15" t="n">
        <v>3</v>
      </c>
      <c r="G13" s="15" t="n">
        <v>0</v>
      </c>
      <c r="H13" s="15" t="n">
        <v>0</v>
      </c>
      <c r="I13" s="15" t="n">
        <v>2</v>
      </c>
      <c r="J13" s="15" t="n">
        <v>0</v>
      </c>
      <c r="K13" s="15" t="n">
        <v>0</v>
      </c>
      <c r="L13" s="13" t="n">
        <f aca="false">SUM(F13:K13)</f>
        <v>5</v>
      </c>
      <c r="M13" s="13" t="s">
        <v>66</v>
      </c>
      <c r="N13" s="14" t="s">
        <v>109</v>
      </c>
      <c r="O13" s="13" t="s">
        <v>68</v>
      </c>
    </row>
    <row r="14" customFormat="false" ht="15" hidden="false" customHeight="false" outlineLevel="0" collapsed="false">
      <c r="A14" s="13" t="s">
        <v>110</v>
      </c>
      <c r="B14" s="14" t="s">
        <v>111</v>
      </c>
      <c r="C14" s="14" t="s">
        <v>112</v>
      </c>
      <c r="D14" s="14" t="s">
        <v>113</v>
      </c>
      <c r="E14" s="14" t="s">
        <v>114</v>
      </c>
      <c r="F14" s="15" t="n">
        <v>0</v>
      </c>
      <c r="G14" s="15" t="n">
        <v>4</v>
      </c>
      <c r="H14" s="15" t="n">
        <v>0</v>
      </c>
      <c r="I14" s="15" t="n">
        <v>0</v>
      </c>
      <c r="J14" s="15" t="n">
        <v>0</v>
      </c>
      <c r="K14" s="15" t="n">
        <v>0</v>
      </c>
      <c r="L14" s="13" t="n">
        <f aca="false">SUM(F14:K14)</f>
        <v>4</v>
      </c>
      <c r="M14" s="13" t="s">
        <v>79</v>
      </c>
      <c r="N14" s="14" t="s">
        <v>115</v>
      </c>
      <c r="O14" s="13" t="s">
        <v>68</v>
      </c>
    </row>
    <row r="15" customFormat="false" ht="23.85" hidden="false" customHeight="false" outlineLevel="0" collapsed="false">
      <c r="A15" s="13" t="s">
        <v>116</v>
      </c>
      <c r="B15" s="14" t="s">
        <v>117</v>
      </c>
      <c r="C15" s="14" t="s">
        <v>118</v>
      </c>
      <c r="D15" s="14" t="s">
        <v>119</v>
      </c>
      <c r="E15" s="14" t="s">
        <v>114</v>
      </c>
      <c r="F15" s="15" t="n">
        <v>0</v>
      </c>
      <c r="G15" s="15" t="n">
        <v>2</v>
      </c>
      <c r="H15" s="15" t="n">
        <v>2</v>
      </c>
      <c r="I15" s="15" t="n">
        <v>0</v>
      </c>
      <c r="J15" s="15" t="n">
        <v>0</v>
      </c>
      <c r="K15" s="15" t="n">
        <v>0</v>
      </c>
      <c r="L15" s="13" t="n">
        <f aca="false">SUM(F15:K15)</f>
        <v>4</v>
      </c>
      <c r="M15" s="13" t="s">
        <v>79</v>
      </c>
      <c r="N15" s="14" t="s">
        <v>120</v>
      </c>
      <c r="O15" s="13" t="s">
        <v>68</v>
      </c>
    </row>
    <row r="16" customFormat="false" ht="15" hidden="false" customHeight="false" outlineLevel="0" collapsed="false">
      <c r="A16" s="13" t="s">
        <v>121</v>
      </c>
      <c r="B16" s="14" t="s">
        <v>122</v>
      </c>
      <c r="C16" s="14" t="s">
        <v>123</v>
      </c>
      <c r="D16" s="14" t="s">
        <v>77</v>
      </c>
      <c r="E16" s="14" t="s">
        <v>102</v>
      </c>
      <c r="F16" s="15" t="n">
        <v>3</v>
      </c>
      <c r="G16" s="15" t="n">
        <v>4</v>
      </c>
      <c r="H16" s="15" t="n">
        <v>3</v>
      </c>
      <c r="I16" s="15" t="n">
        <v>0</v>
      </c>
      <c r="J16" s="15" t="n">
        <v>0</v>
      </c>
      <c r="K16" s="15" t="n">
        <v>0</v>
      </c>
      <c r="L16" s="13" t="n">
        <f aca="false">SUM(F16:K16)</f>
        <v>10</v>
      </c>
      <c r="M16" s="13" t="s">
        <v>79</v>
      </c>
      <c r="N16" s="14" t="s">
        <v>124</v>
      </c>
      <c r="O16" s="13" t="s">
        <v>125</v>
      </c>
    </row>
    <row r="17" customFormat="false" ht="15" hidden="false" customHeight="false" outlineLevel="0" collapsed="false">
      <c r="A17" s="13" t="s">
        <v>126</v>
      </c>
      <c r="B17" s="14" t="s">
        <v>127</v>
      </c>
      <c r="C17" s="14" t="s">
        <v>128</v>
      </c>
      <c r="D17" s="14" t="s">
        <v>119</v>
      </c>
      <c r="E17" s="14" t="s">
        <v>114</v>
      </c>
      <c r="F17" s="15" t="n">
        <v>0</v>
      </c>
      <c r="G17" s="15" t="n">
        <v>0</v>
      </c>
      <c r="H17" s="15" t="n">
        <v>3</v>
      </c>
      <c r="I17" s="15" t="n">
        <v>0</v>
      </c>
      <c r="J17" s="15" t="n">
        <v>0</v>
      </c>
      <c r="K17" s="15" t="n">
        <v>0</v>
      </c>
      <c r="L17" s="13" t="n">
        <f aca="false">SUM(F17:K17)</f>
        <v>3</v>
      </c>
      <c r="M17" s="13" t="s">
        <v>79</v>
      </c>
      <c r="N17" s="14" t="s">
        <v>129</v>
      </c>
      <c r="O17" s="13" t="s">
        <v>68</v>
      </c>
    </row>
    <row r="18" customFormat="false" ht="23.85" hidden="false" customHeight="false" outlineLevel="0" collapsed="false">
      <c r="A18" s="13" t="s">
        <v>130</v>
      </c>
      <c r="B18" s="14" t="s">
        <v>131</v>
      </c>
      <c r="C18" s="14" t="s">
        <v>132</v>
      </c>
      <c r="D18" s="14" t="s">
        <v>77</v>
      </c>
      <c r="E18" s="14" t="s">
        <v>114</v>
      </c>
      <c r="F18" s="15" t="n">
        <v>3</v>
      </c>
      <c r="G18" s="15" t="n">
        <v>0</v>
      </c>
      <c r="H18" s="15" t="n">
        <v>0</v>
      </c>
      <c r="I18" s="15" t="n">
        <v>7</v>
      </c>
      <c r="J18" s="15" t="n">
        <v>0</v>
      </c>
      <c r="K18" s="15" t="n">
        <v>0</v>
      </c>
      <c r="L18" s="13" t="n">
        <f aca="false">SUM(F18:K18)</f>
        <v>10</v>
      </c>
      <c r="M18" s="13" t="s">
        <v>79</v>
      </c>
      <c r="N18" s="14" t="s">
        <v>133</v>
      </c>
      <c r="O18" s="13" t="s">
        <v>68</v>
      </c>
    </row>
    <row r="19" customFormat="false" ht="23.85" hidden="false" customHeight="false" outlineLevel="0" collapsed="false">
      <c r="A19" s="13" t="s">
        <v>134</v>
      </c>
      <c r="B19" s="14" t="s">
        <v>135</v>
      </c>
      <c r="C19" s="14" t="s">
        <v>136</v>
      </c>
      <c r="D19" s="14" t="s">
        <v>77</v>
      </c>
      <c r="E19" s="14" t="s">
        <v>137</v>
      </c>
      <c r="F19" s="15" t="n">
        <v>0</v>
      </c>
      <c r="G19" s="15" t="n">
        <v>0</v>
      </c>
      <c r="H19" s="15" t="n">
        <v>0</v>
      </c>
      <c r="I19" s="15" t="n">
        <v>3</v>
      </c>
      <c r="J19" s="15" t="n">
        <v>0</v>
      </c>
      <c r="K19" s="15" t="n">
        <v>0</v>
      </c>
      <c r="L19" s="13" t="n">
        <f aca="false">SUM(F19:K19)</f>
        <v>3</v>
      </c>
      <c r="M19" s="13" t="s">
        <v>79</v>
      </c>
      <c r="N19" s="14" t="s">
        <v>138</v>
      </c>
      <c r="O19" s="13" t="s">
        <v>139</v>
      </c>
    </row>
    <row r="20" customFormat="false" ht="15" hidden="false" customHeight="false" outlineLevel="0" collapsed="false">
      <c r="A20" s="13" t="s">
        <v>140</v>
      </c>
      <c r="B20" s="14" t="s">
        <v>122</v>
      </c>
      <c r="C20" s="14" t="s">
        <v>141</v>
      </c>
      <c r="D20" s="14" t="s">
        <v>77</v>
      </c>
      <c r="E20" s="14" t="s">
        <v>137</v>
      </c>
      <c r="F20" s="15" t="n">
        <v>0</v>
      </c>
      <c r="G20" s="15" t="n">
        <v>0</v>
      </c>
      <c r="H20" s="15" t="n">
        <v>0</v>
      </c>
      <c r="I20" s="15" t="n">
        <v>2</v>
      </c>
      <c r="J20" s="15" t="n">
        <v>0</v>
      </c>
      <c r="K20" s="15" t="n">
        <v>0</v>
      </c>
      <c r="L20" s="13" t="n">
        <f aca="false">SUM(F20:K20)</f>
        <v>2</v>
      </c>
      <c r="M20" s="13" t="s">
        <v>79</v>
      </c>
      <c r="N20" s="14" t="s">
        <v>142</v>
      </c>
      <c r="O20" s="13" t="s">
        <v>125</v>
      </c>
    </row>
    <row r="21" customFormat="false" ht="23.85" hidden="false" customHeight="false" outlineLevel="0" collapsed="false">
      <c r="A21" s="13" t="s">
        <v>143</v>
      </c>
      <c r="B21" s="14" t="s">
        <v>144</v>
      </c>
      <c r="C21" s="14" t="s">
        <v>144</v>
      </c>
      <c r="D21" s="14" t="s">
        <v>145</v>
      </c>
      <c r="E21" s="14" t="s">
        <v>146</v>
      </c>
      <c r="F21" s="15" t="n">
        <v>0</v>
      </c>
      <c r="G21" s="15" t="n">
        <v>0</v>
      </c>
      <c r="H21" s="15" t="n">
        <v>0</v>
      </c>
      <c r="I21" s="15" t="n">
        <v>3</v>
      </c>
      <c r="J21" s="15" t="n">
        <v>0</v>
      </c>
      <c r="K21" s="15" t="n">
        <v>0</v>
      </c>
      <c r="L21" s="13" t="n">
        <f aca="false">SUM(F21:K21)</f>
        <v>3</v>
      </c>
      <c r="M21" s="13" t="s">
        <v>79</v>
      </c>
      <c r="N21" s="14" t="s">
        <v>147</v>
      </c>
      <c r="O21" s="13" t="s">
        <v>139</v>
      </c>
    </row>
    <row r="22" customFormat="false" ht="15" hidden="false" customHeight="false" outlineLevel="0" collapsed="false">
      <c r="A22" s="13" t="s">
        <v>148</v>
      </c>
      <c r="B22" s="14" t="s">
        <v>62</v>
      </c>
      <c r="C22" s="14" t="s">
        <v>149</v>
      </c>
      <c r="D22" s="14" t="s">
        <v>101</v>
      </c>
      <c r="E22" s="14" t="s">
        <v>150</v>
      </c>
      <c r="F22" s="15" t="n">
        <v>0</v>
      </c>
      <c r="G22" s="15" t="n">
        <v>0</v>
      </c>
      <c r="H22" s="15" t="n">
        <v>0</v>
      </c>
      <c r="I22" s="15" t="n">
        <v>0</v>
      </c>
      <c r="J22" s="15" t="n">
        <v>8</v>
      </c>
      <c r="K22" s="15" t="n">
        <v>0</v>
      </c>
      <c r="L22" s="13" t="n">
        <f aca="false">SUM(F22:K22)</f>
        <v>8</v>
      </c>
      <c r="M22" s="13" t="s">
        <v>73</v>
      </c>
      <c r="N22" s="14" t="s">
        <v>151</v>
      </c>
      <c r="O22" s="13" t="s">
        <v>68</v>
      </c>
    </row>
    <row r="23" customFormat="false" ht="15" hidden="false" customHeight="false" outlineLevel="0" collapsed="false">
      <c r="A23" s="13" t="s">
        <v>152</v>
      </c>
      <c r="B23" s="14" t="s">
        <v>153</v>
      </c>
      <c r="C23" s="14" t="s">
        <v>154</v>
      </c>
      <c r="D23" s="14" t="s">
        <v>101</v>
      </c>
      <c r="E23" s="14" t="s">
        <v>150</v>
      </c>
      <c r="F23" s="15" t="n">
        <v>0</v>
      </c>
      <c r="G23" s="15" t="n">
        <v>0</v>
      </c>
      <c r="H23" s="15" t="n">
        <v>0</v>
      </c>
      <c r="I23" s="15" t="n">
        <v>0</v>
      </c>
      <c r="J23" s="15" t="n">
        <v>8</v>
      </c>
      <c r="K23" s="15" t="n">
        <v>0</v>
      </c>
      <c r="L23" s="13" t="n">
        <f aca="false">SUM(F23:K23)</f>
        <v>8</v>
      </c>
      <c r="M23" s="13" t="s">
        <v>73</v>
      </c>
      <c r="N23" s="14" t="s">
        <v>155</v>
      </c>
      <c r="O23" s="13" t="s">
        <v>68</v>
      </c>
    </row>
    <row r="24" customFormat="false" ht="15" hidden="false" customHeight="false" outlineLevel="0" collapsed="false">
      <c r="A24" s="13" t="s">
        <v>156</v>
      </c>
      <c r="B24" s="14" t="s">
        <v>157</v>
      </c>
      <c r="C24" s="14" t="s">
        <v>158</v>
      </c>
      <c r="D24" s="14" t="s">
        <v>77</v>
      </c>
      <c r="E24" s="14" t="s">
        <v>150</v>
      </c>
      <c r="F24" s="15" t="n">
        <v>0</v>
      </c>
      <c r="G24" s="15" t="n">
        <v>0</v>
      </c>
      <c r="H24" s="15" t="n">
        <v>0</v>
      </c>
      <c r="I24" s="15" t="n">
        <v>0</v>
      </c>
      <c r="J24" s="15" t="n">
        <v>8</v>
      </c>
      <c r="K24" s="15" t="n">
        <v>0</v>
      </c>
      <c r="L24" s="13" t="n">
        <f aca="false">SUM(F24:K24)</f>
        <v>8</v>
      </c>
      <c r="M24" s="13" t="s">
        <v>79</v>
      </c>
      <c r="N24" s="14" t="s">
        <v>159</v>
      </c>
      <c r="O24" s="13" t="s">
        <v>68</v>
      </c>
    </row>
    <row r="25" customFormat="false" ht="23.85" hidden="false" customHeight="false" outlineLevel="0" collapsed="false">
      <c r="A25" s="13" t="s">
        <v>160</v>
      </c>
      <c r="B25" s="14" t="s">
        <v>161</v>
      </c>
      <c r="C25" s="14" t="s">
        <v>162</v>
      </c>
      <c r="D25" s="14" t="s">
        <v>163</v>
      </c>
      <c r="E25" s="14" t="s">
        <v>150</v>
      </c>
      <c r="F25" s="15" t="n">
        <v>0</v>
      </c>
      <c r="G25" s="15" t="n">
        <v>0</v>
      </c>
      <c r="H25" s="15" t="n">
        <v>0</v>
      </c>
      <c r="I25" s="15" t="n">
        <v>0</v>
      </c>
      <c r="J25" s="15" t="n">
        <v>8</v>
      </c>
      <c r="K25" s="15" t="n">
        <v>0</v>
      </c>
      <c r="L25" s="13" t="n">
        <f aca="false">SUM(F25:K25)</f>
        <v>8</v>
      </c>
      <c r="M25" s="13" t="s">
        <v>73</v>
      </c>
      <c r="N25" s="14" t="s">
        <v>164</v>
      </c>
      <c r="O25" s="13" t="s">
        <v>68</v>
      </c>
    </row>
    <row r="26" customFormat="false" ht="23.85" hidden="false" customHeight="false" outlineLevel="0" collapsed="false">
      <c r="A26" s="13" t="s">
        <v>165</v>
      </c>
      <c r="B26" s="14" t="s">
        <v>166</v>
      </c>
      <c r="C26" s="14" t="s">
        <v>167</v>
      </c>
      <c r="D26" s="14" t="s">
        <v>101</v>
      </c>
      <c r="E26" s="14" t="s">
        <v>150</v>
      </c>
      <c r="F26" s="15" t="n">
        <v>0</v>
      </c>
      <c r="G26" s="15" t="n">
        <v>0</v>
      </c>
      <c r="H26" s="15" t="n">
        <v>0</v>
      </c>
      <c r="I26" s="15" t="n">
        <v>0</v>
      </c>
      <c r="J26" s="15" t="n">
        <v>8</v>
      </c>
      <c r="K26" s="15" t="n">
        <v>0</v>
      </c>
      <c r="L26" s="13" t="n">
        <f aca="false">SUM(F26:K26)</f>
        <v>8</v>
      </c>
      <c r="M26" s="13" t="s">
        <v>73</v>
      </c>
      <c r="N26" s="14" t="s">
        <v>168</v>
      </c>
      <c r="O26" s="13" t="s">
        <v>139</v>
      </c>
    </row>
    <row r="27" customFormat="false" ht="15" hidden="false" customHeight="false" outlineLevel="0" collapsed="false">
      <c r="A27" s="13" t="s">
        <v>169</v>
      </c>
      <c r="B27" s="14" t="s">
        <v>170</v>
      </c>
      <c r="C27" s="14" t="s">
        <v>171</v>
      </c>
      <c r="D27" s="14" t="s">
        <v>77</v>
      </c>
      <c r="E27" s="14" t="s">
        <v>150</v>
      </c>
      <c r="F27" s="15" t="n">
        <v>0</v>
      </c>
      <c r="G27" s="15" t="n">
        <v>0</v>
      </c>
      <c r="H27" s="15" t="n">
        <v>0</v>
      </c>
      <c r="I27" s="15" t="n">
        <v>0</v>
      </c>
      <c r="J27" s="15" t="n">
        <v>4</v>
      </c>
      <c r="K27" s="15" t="n">
        <v>0</v>
      </c>
      <c r="L27" s="13" t="n">
        <f aca="false">SUM(F27:K27)</f>
        <v>4</v>
      </c>
      <c r="M27" s="13" t="s">
        <v>79</v>
      </c>
      <c r="N27" s="14" t="s">
        <v>172</v>
      </c>
      <c r="O27" s="13" t="s">
        <v>125</v>
      </c>
    </row>
    <row r="28" customFormat="false" ht="23.85" hidden="false" customHeight="false" outlineLevel="0" collapsed="false">
      <c r="A28" s="13" t="s">
        <v>173</v>
      </c>
      <c r="B28" s="14" t="s">
        <v>174</v>
      </c>
      <c r="C28" s="14" t="s">
        <v>175</v>
      </c>
      <c r="D28" s="14" t="s">
        <v>176</v>
      </c>
      <c r="E28" s="14" t="s">
        <v>177</v>
      </c>
      <c r="F28" s="15" t="n">
        <v>0</v>
      </c>
      <c r="G28" s="15" t="n">
        <v>0</v>
      </c>
      <c r="H28" s="15" t="n">
        <v>0</v>
      </c>
      <c r="I28" s="15" t="n">
        <v>0</v>
      </c>
      <c r="J28" s="15" t="n">
        <v>8</v>
      </c>
      <c r="K28" s="15" t="n">
        <v>0</v>
      </c>
      <c r="L28" s="13" t="n">
        <f aca="false">SUM(F28:K28)</f>
        <v>8</v>
      </c>
      <c r="M28" s="13" t="s">
        <v>73</v>
      </c>
      <c r="N28" s="14" t="s">
        <v>178</v>
      </c>
      <c r="O28" s="13" t="s">
        <v>139</v>
      </c>
    </row>
    <row r="29" customFormat="false" ht="23.85" hidden="false" customHeight="false" outlineLevel="0" collapsed="false">
      <c r="A29" s="13" t="s">
        <v>179</v>
      </c>
      <c r="B29" s="14" t="s">
        <v>180</v>
      </c>
      <c r="C29" s="14" t="s">
        <v>181</v>
      </c>
      <c r="D29" s="14" t="s">
        <v>182</v>
      </c>
      <c r="E29" s="14" t="s">
        <v>183</v>
      </c>
      <c r="F29" s="15" t="n">
        <v>0</v>
      </c>
      <c r="G29" s="15" t="n">
        <v>0</v>
      </c>
      <c r="H29" s="15" t="n">
        <v>0</v>
      </c>
      <c r="I29" s="15" t="n">
        <v>0</v>
      </c>
      <c r="J29" s="15" t="n">
        <v>0</v>
      </c>
      <c r="K29" s="15" t="n">
        <v>1</v>
      </c>
      <c r="L29" s="13" t="n">
        <f aca="false">SUM(F29:K29)</f>
        <v>1</v>
      </c>
      <c r="M29" s="13" t="s">
        <v>66</v>
      </c>
      <c r="N29" s="14" t="s">
        <v>184</v>
      </c>
      <c r="O29" s="13" t="s">
        <v>68</v>
      </c>
    </row>
    <row r="30" customFormat="false" ht="23.85" hidden="false" customHeight="false" outlineLevel="0" collapsed="false">
      <c r="A30" s="13" t="s">
        <v>185</v>
      </c>
      <c r="B30" s="14" t="s">
        <v>186</v>
      </c>
      <c r="C30" s="14" t="s">
        <v>187</v>
      </c>
      <c r="D30" s="14" t="s">
        <v>188</v>
      </c>
      <c r="E30" s="14" t="s">
        <v>183</v>
      </c>
      <c r="F30" s="15" t="n">
        <v>0</v>
      </c>
      <c r="G30" s="15" t="n">
        <v>0</v>
      </c>
      <c r="H30" s="15" t="n">
        <v>0</v>
      </c>
      <c r="I30" s="15" t="n">
        <v>0</v>
      </c>
      <c r="J30" s="15" t="n">
        <v>0</v>
      </c>
      <c r="K30" s="15" t="n">
        <v>1</v>
      </c>
      <c r="L30" s="13" t="n">
        <f aca="false">SUM(F30:K30)</f>
        <v>1</v>
      </c>
      <c r="M30" s="13" t="s">
        <v>79</v>
      </c>
      <c r="N30" s="14" t="s">
        <v>189</v>
      </c>
      <c r="O30" s="13" t="s">
        <v>68</v>
      </c>
    </row>
    <row r="31" customFormat="false" ht="35.05" hidden="false" customHeight="false" outlineLevel="0" collapsed="false">
      <c r="A31" s="13" t="s">
        <v>190</v>
      </c>
      <c r="B31" s="14" t="s">
        <v>105</v>
      </c>
      <c r="C31" s="14" t="s">
        <v>191</v>
      </c>
      <c r="D31" s="14" t="s">
        <v>192</v>
      </c>
      <c r="E31" s="14" t="s">
        <v>96</v>
      </c>
      <c r="F31" s="15" t="n">
        <v>0</v>
      </c>
      <c r="G31" s="15" t="n">
        <v>0</v>
      </c>
      <c r="H31" s="15" t="n">
        <v>0</v>
      </c>
      <c r="I31" s="15" t="n">
        <v>0</v>
      </c>
      <c r="J31" s="15" t="n">
        <v>0</v>
      </c>
      <c r="K31" s="15" t="n">
        <v>1</v>
      </c>
      <c r="L31" s="13" t="n">
        <f aca="false">SUM(F31:K31)</f>
        <v>1</v>
      </c>
      <c r="M31" s="13" t="s">
        <v>79</v>
      </c>
      <c r="N31" s="14" t="s">
        <v>193</v>
      </c>
      <c r="O31" s="13" t="s">
        <v>68</v>
      </c>
    </row>
    <row r="32" customFormat="false" ht="23.85" hidden="false" customHeight="false" outlineLevel="0" collapsed="false">
      <c r="A32" s="13" t="s">
        <v>194</v>
      </c>
      <c r="B32" s="14" t="s">
        <v>195</v>
      </c>
      <c r="C32" s="14" t="s">
        <v>196</v>
      </c>
      <c r="D32" s="14" t="s">
        <v>101</v>
      </c>
      <c r="E32" s="14" t="s">
        <v>183</v>
      </c>
      <c r="F32" s="15" t="n">
        <v>0</v>
      </c>
      <c r="G32" s="15" t="n">
        <v>0</v>
      </c>
      <c r="H32" s="15" t="n">
        <v>0</v>
      </c>
      <c r="I32" s="15" t="n">
        <v>0</v>
      </c>
      <c r="J32" s="15" t="n">
        <v>0</v>
      </c>
      <c r="K32" s="15" t="n">
        <v>1</v>
      </c>
      <c r="L32" s="13" t="n">
        <f aca="false">SUM(F32:K32)</f>
        <v>1</v>
      </c>
      <c r="M32" s="13" t="s">
        <v>73</v>
      </c>
      <c r="N32" s="14" t="s">
        <v>197</v>
      </c>
      <c r="O32" s="13" t="s">
        <v>139</v>
      </c>
    </row>
    <row r="33" customFormat="false" ht="23.85" hidden="false" customHeight="false" outlineLevel="0" collapsed="false">
      <c r="A33" s="13" t="s">
        <v>198</v>
      </c>
      <c r="B33" s="14" t="s">
        <v>199</v>
      </c>
      <c r="C33" s="14" t="s">
        <v>200</v>
      </c>
      <c r="D33" s="14" t="s">
        <v>176</v>
      </c>
      <c r="E33" s="14" t="s">
        <v>201</v>
      </c>
      <c r="F33" s="15" t="n">
        <v>0</v>
      </c>
      <c r="G33" s="15" t="n">
        <v>0</v>
      </c>
      <c r="H33" s="15" t="n">
        <v>0</v>
      </c>
      <c r="I33" s="15" t="n">
        <v>0</v>
      </c>
      <c r="J33" s="15" t="n">
        <v>0</v>
      </c>
      <c r="K33" s="15" t="n">
        <v>1</v>
      </c>
      <c r="L33" s="13" t="n">
        <f aca="false">SUM(F33:K33)</f>
        <v>1</v>
      </c>
      <c r="M33" s="13" t="s">
        <v>73</v>
      </c>
      <c r="N33" s="14" t="s">
        <v>202</v>
      </c>
      <c r="O33" s="13" t="s">
        <v>139</v>
      </c>
    </row>
    <row r="34" customFormat="false" ht="23.85" hidden="false" customHeight="false" outlineLevel="0" collapsed="false">
      <c r="A34" s="13" t="s">
        <v>203</v>
      </c>
      <c r="B34" s="14" t="s">
        <v>204</v>
      </c>
      <c r="C34" s="14" t="s">
        <v>205</v>
      </c>
      <c r="D34" s="14" t="s">
        <v>77</v>
      </c>
      <c r="E34" s="14" t="s">
        <v>96</v>
      </c>
      <c r="F34" s="15" t="n">
        <v>0</v>
      </c>
      <c r="G34" s="15" t="n">
        <v>0</v>
      </c>
      <c r="H34" s="15" t="n">
        <v>0</v>
      </c>
      <c r="I34" s="15" t="n">
        <v>0</v>
      </c>
      <c r="J34" s="15" t="n">
        <v>0</v>
      </c>
      <c r="K34" s="15" t="n">
        <v>1</v>
      </c>
      <c r="L34" s="13" t="n">
        <f aca="false">SUM(F34:K34)</f>
        <v>1</v>
      </c>
      <c r="M34" s="13" t="s">
        <v>79</v>
      </c>
      <c r="N34" s="14" t="s">
        <v>206</v>
      </c>
      <c r="O34" s="13" t="s">
        <v>125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0"/>
    <col collapsed="false" customWidth="true" hidden="false" outlineLevel="0" max="3" min="3" style="0" width="14"/>
  </cols>
  <sheetData>
    <row r="1" customFormat="false" ht="17.35" hidden="false" customHeight="false" outlineLevel="0" collapsed="false">
      <c r="A1" s="1" t="s">
        <v>207</v>
      </c>
    </row>
    <row r="2" customFormat="false" ht="15" hidden="false" customHeight="false" outlineLevel="0" collapsed="false">
      <c r="A2" s="2" t="s">
        <v>208</v>
      </c>
    </row>
    <row r="4" customFormat="false" ht="27.75" hidden="false" customHeight="true" outlineLevel="0" collapsed="false">
      <c r="A4" s="4" t="s">
        <v>209</v>
      </c>
      <c r="B4" s="4" t="s">
        <v>210</v>
      </c>
    </row>
    <row r="5" customFormat="false" ht="15" hidden="false" customHeight="false" outlineLevel="0" collapsed="false">
      <c r="A5" s="16" t="s">
        <v>79</v>
      </c>
      <c r="B5" s="17" t="n">
        <f aca="false">COUNTIF('Product Register'!$M$6:$M$34,A5)</f>
        <v>15</v>
      </c>
    </row>
    <row r="6" customFormat="false" ht="15" hidden="false" customHeight="false" outlineLevel="0" collapsed="false">
      <c r="A6" s="16" t="s">
        <v>73</v>
      </c>
      <c r="B6" s="17" t="n">
        <f aca="false">COUNTIF('Product Register'!$M$6:$M$34,A6)</f>
        <v>10</v>
      </c>
    </row>
    <row r="7" customFormat="false" ht="15" hidden="false" customHeight="false" outlineLevel="0" collapsed="false">
      <c r="A7" s="16" t="s">
        <v>66</v>
      </c>
      <c r="B7" s="17" t="n">
        <f aca="false">COUNTIF('Product Register'!$M$6:$M$34,A7)</f>
        <v>4</v>
      </c>
    </row>
    <row r="8" customFormat="false" ht="15" hidden="false" customHeight="false" outlineLevel="0" collapsed="false">
      <c r="A8" s="18" t="s">
        <v>211</v>
      </c>
      <c r="B8" s="19" t="n">
        <f aca="false">SUM(B5:B7)</f>
        <v>29</v>
      </c>
    </row>
    <row r="10" customFormat="false" ht="27.75" hidden="false" customHeight="true" outlineLevel="0" collapsed="false">
      <c r="A10" s="4" t="s">
        <v>212</v>
      </c>
      <c r="B10" s="4" t="s">
        <v>210</v>
      </c>
    </row>
    <row r="11" customFormat="false" ht="15" hidden="false" customHeight="false" outlineLevel="0" collapsed="false">
      <c r="A11" s="16" t="s">
        <v>68</v>
      </c>
      <c r="B11" s="17" t="n">
        <f aca="false">COUNTIF('Product Register'!$O$6:$O$34,A11)</f>
        <v>19</v>
      </c>
    </row>
    <row r="12" customFormat="false" ht="15" hidden="false" customHeight="false" outlineLevel="0" collapsed="false">
      <c r="A12" s="16" t="s">
        <v>139</v>
      </c>
      <c r="B12" s="17" t="n">
        <f aca="false">COUNTIF('Product Register'!$O$6:$O$34,A12)</f>
        <v>6</v>
      </c>
    </row>
    <row r="13" customFormat="false" ht="15" hidden="false" customHeight="false" outlineLevel="0" collapsed="false">
      <c r="A13" s="16" t="s">
        <v>125</v>
      </c>
      <c r="B13" s="17" t="n">
        <f aca="false">COUNTIF('Product Register'!$O$6:$O$34,A13)</f>
        <v>4</v>
      </c>
    </row>
    <row r="14" customFormat="false" ht="15" hidden="false" customHeight="false" outlineLevel="0" collapsed="false">
      <c r="A14" s="18" t="s">
        <v>211</v>
      </c>
      <c r="B14" s="19" t="n">
        <f aca="false">SUM(B11:B13)</f>
        <v>29</v>
      </c>
    </row>
    <row r="15" customFormat="false" ht="15" hidden="false" customHeight="false" outlineLevel="0" collapsed="false">
      <c r="A15" s="16" t="s">
        <v>213</v>
      </c>
      <c r="B15" s="19" t="str">
        <f aca="false">IF(B8=B14,"OK","CHECK")</f>
        <v>OK</v>
      </c>
    </row>
    <row r="17" customFormat="false" ht="27.75" hidden="false" customHeight="true" outlineLevel="0" collapsed="false">
      <c r="A17" s="4" t="s">
        <v>3</v>
      </c>
      <c r="B17" s="4" t="s">
        <v>214</v>
      </c>
      <c r="C17" s="4" t="s">
        <v>46</v>
      </c>
    </row>
    <row r="18" customFormat="false" ht="15" hidden="false" customHeight="false" outlineLevel="0" collapsed="false">
      <c r="A18" s="16" t="s">
        <v>13</v>
      </c>
      <c r="B18" s="17" t="n">
        <f aca="false">COUNTIF('Product Register'!$F$6:$F$34,"&gt;0")</f>
        <v>8</v>
      </c>
      <c r="C18" s="17" t="n">
        <f aca="false">'Product Register'!F4</f>
        <v>3</v>
      </c>
    </row>
    <row r="19" customFormat="false" ht="15" hidden="false" customHeight="false" outlineLevel="0" collapsed="false">
      <c r="A19" s="16" t="s">
        <v>18</v>
      </c>
      <c r="B19" s="17" t="n">
        <f aca="false">COUNTIF('Product Register'!$G$6:$G$34,"&gt;0")</f>
        <v>8</v>
      </c>
      <c r="C19" s="17" t="n">
        <f aca="false">'Product Register'!G4</f>
        <v>4</v>
      </c>
    </row>
    <row r="20" customFormat="false" ht="15" hidden="false" customHeight="false" outlineLevel="0" collapsed="false">
      <c r="A20" s="16" t="s">
        <v>23</v>
      </c>
      <c r="B20" s="17" t="n">
        <f aca="false">COUNTIF('Product Register'!$H$6:$H$34,"&gt;0")</f>
        <v>8</v>
      </c>
      <c r="C20" s="17" t="n">
        <f aca="false">'Product Register'!H4</f>
        <v>3</v>
      </c>
    </row>
    <row r="21" customFormat="false" ht="15" hidden="false" customHeight="false" outlineLevel="0" collapsed="false">
      <c r="A21" s="16" t="s">
        <v>28</v>
      </c>
      <c r="B21" s="17" t="n">
        <f aca="false">COUNTIF('Product Register'!$I$6:$I$34,"&gt;0")</f>
        <v>10</v>
      </c>
      <c r="C21" s="17" t="n">
        <f aca="false">'Product Register'!I4</f>
        <v>7</v>
      </c>
    </row>
    <row r="22" customFormat="false" ht="15" hidden="false" customHeight="false" outlineLevel="0" collapsed="false">
      <c r="A22" s="16" t="s">
        <v>33</v>
      </c>
      <c r="B22" s="17" t="n">
        <f aca="false">COUNTIF('Product Register'!$J$6:$J$34,"&gt;0")</f>
        <v>12</v>
      </c>
      <c r="C22" s="17" t="n">
        <f aca="false">'Product Register'!J4</f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40"/>
    <col collapsed="false" customWidth="true" hidden="false" outlineLevel="0" max="3" min="3" style="0" width="56"/>
    <col collapsed="false" customWidth="true" hidden="false" outlineLevel="0" max="4" min="4" style="0" width="62"/>
  </cols>
  <sheetData>
    <row r="1" customFormat="false" ht="17.35" hidden="false" customHeight="false" outlineLevel="0" collapsed="false">
      <c r="A1" s="1" t="s">
        <v>215</v>
      </c>
    </row>
    <row r="3" customFormat="false" ht="27.75" hidden="false" customHeight="true" outlineLevel="0" collapsed="false">
      <c r="A3" s="4" t="s">
        <v>216</v>
      </c>
      <c r="B3" s="4" t="s">
        <v>217</v>
      </c>
      <c r="C3" s="4" t="s">
        <v>218</v>
      </c>
      <c r="D3" s="4" t="s">
        <v>219</v>
      </c>
    </row>
    <row r="4" customFormat="false" ht="23.85" hidden="false" customHeight="false" outlineLevel="0" collapsed="false">
      <c r="A4" s="6" t="s">
        <v>220</v>
      </c>
      <c r="B4" s="6" t="s">
        <v>221</v>
      </c>
      <c r="C4" s="6" t="s">
        <v>222</v>
      </c>
      <c r="D4" s="6" t="s">
        <v>223</v>
      </c>
    </row>
    <row r="5" customFormat="false" ht="23.85" hidden="false" customHeight="false" outlineLevel="0" collapsed="false">
      <c r="A5" s="6" t="s">
        <v>224</v>
      </c>
      <c r="B5" s="6" t="s">
        <v>225</v>
      </c>
      <c r="C5" s="6" t="s">
        <v>226</v>
      </c>
      <c r="D5" s="6" t="s">
        <v>227</v>
      </c>
    </row>
    <row r="6" customFormat="false" ht="23.85" hidden="false" customHeight="false" outlineLevel="0" collapsed="false">
      <c r="A6" s="6" t="s">
        <v>228</v>
      </c>
      <c r="B6" s="6" t="s">
        <v>229</v>
      </c>
      <c r="C6" s="6" t="s">
        <v>230</v>
      </c>
      <c r="D6" s="6" t="s">
        <v>231</v>
      </c>
    </row>
    <row r="7" customFormat="false" ht="23.85" hidden="false" customHeight="false" outlineLevel="0" collapsed="false">
      <c r="A7" s="6" t="s">
        <v>232</v>
      </c>
      <c r="B7" s="6" t="s">
        <v>233</v>
      </c>
      <c r="C7" s="6" t="s">
        <v>234</v>
      </c>
      <c r="D7" s="6" t="s">
        <v>235</v>
      </c>
    </row>
    <row r="8" customFormat="false" ht="23.85" hidden="false" customHeight="false" outlineLevel="0" collapsed="false">
      <c r="A8" s="6" t="s">
        <v>236</v>
      </c>
      <c r="B8" s="6" t="s">
        <v>237</v>
      </c>
      <c r="C8" s="6" t="s">
        <v>238</v>
      </c>
      <c r="D8" s="6" t="s">
        <v>239</v>
      </c>
    </row>
    <row r="9" customFormat="false" ht="23.85" hidden="false" customHeight="false" outlineLevel="0" collapsed="false">
      <c r="A9" s="6" t="s">
        <v>240</v>
      </c>
      <c r="B9" s="6" t="s">
        <v>241</v>
      </c>
      <c r="C9" s="6" t="s">
        <v>242</v>
      </c>
      <c r="D9" s="6" t="s">
        <v>243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F82FDF521A85645B936637DD30FD973" ma:contentTypeVersion="7" ma:contentTypeDescription="Create a new document." ma:contentTypeScope="" ma:versionID="e2caf444b7239f9ff99f6ebb04953573">
  <xsd:schema xmlns:xsd="http://www.w3.org/2001/XMLSchema" xmlns:xs="http://www.w3.org/2001/XMLSchema" xmlns:p="http://schemas.microsoft.com/office/2006/metadata/properties" xmlns:ns2="ea60922a-38d8-4759-8041-4d7afebf9df9" targetNamespace="http://schemas.microsoft.com/office/2006/metadata/properties" ma:root="true" ma:fieldsID="0d931dcd0ba00203f86d33dcf4c8052a" ns2:_="">
    <xsd:import namespace="ea60922a-38d8-4759-8041-4d7afebf9df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0922a-38d8-4759-8041-4d7afebf9d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A56E124-EEDE-427A-AA95-B05D44DC3682}"/>
</file>

<file path=customXml/itemProps2.xml><?xml version="1.0" encoding="utf-8"?>
<ds:datastoreItem xmlns:ds="http://schemas.openxmlformats.org/officeDocument/2006/customXml" ds:itemID="{4385F803-4F98-4577-8D6A-9AC483030B31}"/>
</file>

<file path=customXml/itemProps3.xml><?xml version="1.0" encoding="utf-8"?>
<ds:datastoreItem xmlns:ds="http://schemas.openxmlformats.org/officeDocument/2006/customXml" ds:itemID="{6C461563-CF0B-4E7C-9DA2-ED7EB7CC5D5A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/>
  <cp:revision>0</cp:revision>
  <dcterms:created xsi:type="dcterms:W3CDTF">2026-09-21T07:44:06Z</dcterms:created>
  <dcterms:modified xsi:type="dcterms:W3CDTF">2026-09-21T07:44:06Z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0x0101001F82FDF521A85645B936637DD30FD973</vt:lpwstr>
  </property>
</Properties>
</file>